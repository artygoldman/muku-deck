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Criteria" sheetId="2" state="visible" r:id="rId4"/>
    <sheet name="Assumptions" sheetId="3" state="visible" r:id="rId5"/>
    <sheet name="Fee Reference" sheetId="4" state="visible" r:id="rId6"/>
    <sheet name="PL Monthly" sheetId="5" state="visible" r:id="rId7"/>
    <sheet name="PL Annual" sheetId="6" state="visible" r:id="rId8"/>
    <sheet name="Investment and Cash" sheetId="7" state="visible" r:id="rId9"/>
    <sheet name="Sensitivity" sheetId="8" state="visible" r:id="rId10"/>
    <sheet name="Sources and Benchmarks" sheetId="9" state="visible" r:id="rId11"/>
    <sheet name="Glossary" sheetId="10" state="visible" r:id="rId12"/>
  </sheets>
  <definedNames>
    <definedName function="false" hidden="false" name="a_act_asp_jpy" vbProcedure="false">Assumptions!$C$124</definedName>
    <definedName function="false" hidden="false" name="a_act_basis_pu" vbProcedure="false">Assumptions!$C$133</definedName>
    <definedName function="false" hidden="false" name="a_act_capex_total" vbProcedure="false">Assumptions!$C$134</definedName>
    <definedName function="false" hidden="false" name="a_act_cogs_pu" vbProcedure="false">Assumptions!$C$132</definedName>
    <definedName function="false" hidden="false" name="a_act_referral_pu" vbProcedure="false">Assumptions!$C$130</definedName>
    <definedName function="false" hidden="false" name="a_act_refund_admin_pu" vbProcedure="false">Assumptions!$C$131</definedName>
    <definedName function="false" hidden="false" name="a_act_tacos_y1_end" vbProcedure="false">Assumptions!$C$126</definedName>
    <definedName function="false" hidden="false" name="a_act_tacos_y1_start" vbProcedure="false">Assumptions!$C$125</definedName>
    <definedName function="false" hidden="false" name="a_act_tacos_y2" vbProcedure="false">Assumptions!$C$127</definedName>
    <definedName function="false" hidden="false" name="a_act_tacos_y3" vbProcedure="false">Assumptions!$C$128</definedName>
    <definedName function="false" hidden="false" name="a_act_target_share" vbProcedure="false">Assumptions!$C$129</definedName>
    <definedName function="false" hidden="false" name="a_amazon_fee_category" vbProcedure="false">Assumptions!$C$44</definedName>
    <definedName function="false" hidden="false" name="a_capex_certification_jpy" vbProcedure="false">Assumptions!$C$87</definedName>
    <definedName function="false" hidden="false" name="a_capex_content_jpy" vbProcedure="false">Assumptions!$C$84</definedName>
    <definedName function="false" hidden="false" name="a_capex_contingency_pct" vbProcedure="false">Assumptions!$C$89</definedName>
    <definedName function="false" hidden="false" name="a_capex_oem_tooling_jpy" vbProcedure="false">Assumptions!$C$88</definedName>
    <definedName function="false" hidden="false" name="a_capex_samples_jpy" vbProcedure="false">Assumptions!$C$83</definedName>
    <definedName function="false" hidden="false" name="a_capex_trademark_jpy" vbProcedure="false">Assumptions!$C$85</definedName>
    <definedName function="false" hidden="false" name="a_capex_vine_jpy" vbProcedure="false">Assumptions!$C$86</definedName>
    <definedName function="false" hidden="false" name="a_content_monthly_jpy" vbProcedure="false">Assumptions!$C$68</definedName>
    <definedName function="false" hidden="false" name="a_cover_days" vbProcedure="false">Assumptions!$C$95</definedName>
    <definedName function="false" hidden="false" name="a_currency" vbProcedure="false">Dashboard!$H$4</definedName>
    <definedName function="false" hidden="false" name="a_cur_div" vbProcedure="false">Dashboard!$H$5</definedName>
    <definedName function="false" hidden="false" name="a_delivery_days" vbProcedure="false">Assumptions!$C$94</definedName>
    <definedName function="false" hidden="false" name="a_demand_growth_y2" vbProcedure="false">Assumptions!$C$13</definedName>
    <definedName function="false" hidden="false" name="a_demand_growth_y3" vbProcedure="false">Assumptions!$C$14</definedName>
    <definedName function="false" hidden="false" name="a_fba_fee_net" vbProcedure="false">Assumptions!$C$49</definedName>
    <definedName function="false" hidden="false" name="a_fee_cat_idx" vbProcedure="false">Assumptions!$C$121</definedName>
    <definedName function="false" hidden="false" name="a_fx_jpy_per_usd" vbProcedure="false">Assumptions!$C$101</definedName>
    <definedName function="false" hidden="false" name="a_influencer_monthly_jpy" vbProcedure="false">Assumptions!$C$67</definedName>
    <definedName function="false" hidden="false" name="a_inspection_jpy_per_unit" vbProcedure="false">Assumptions!$C$31</definedName>
    <definedName function="false" hidden="false" name="a_insurance_monthly_jpy" vbProcedure="false">Assumptions!$C$73</definedName>
    <definedName function="false" hidden="false" name="a_jct_filing_interval_months" vbProcedure="false">Assumptions!$C$97</definedName>
    <definedName function="false" hidden="false" name="a_jct_rate_output" vbProcedure="false">Assumptions!$C$19</definedName>
    <definedName function="false" hidden="false" name="a_jct_rate_standard" vbProcedure="false">Assumptions!$C$58</definedName>
    <definedName function="false" hidden="false" name="a_launch_calendar_month" vbProcedure="false">Assumptions!$C$15</definedName>
    <definedName function="false" hidden="false" name="a_logistics_jpy_per_unit" vbProcedure="false">Assumptions!$C$30</definedName>
    <definedName function="false" hidden="false" name="a_mgmt_fee_escalation_pct" vbProcedure="false">Assumptions!$C$79</definedName>
    <definedName function="false" hidden="false" name="a_mgmt_fee_fixed_jpy" vbProcedure="false">Assumptions!$C$76</definedName>
    <definedName function="false" hidden="false" name="a_mgmt_fee_mode" vbProcedure="false">Assumptions!$C$75</definedName>
    <definedName function="false" hidden="false" name="a_mgmt_fee_pct" vbProcedure="false">Assumptions!$C$77</definedName>
    <definedName function="false" hidden="false" name="a_mgmt_fee_start_month" vbProcedure="false">Assumptions!$C$78</definedName>
    <definedName function="false" hidden="false" name="a_moq_units" vbProcedure="false">Assumptions!$C$35</definedName>
    <definedName function="false" hidden="false" name="a_package_height_mm" vbProcedure="false">Assumptions!$C$42</definedName>
    <definedName function="false" hidden="false" name="a_package_length_mm" vbProcedure="false">Assumptions!$C$40</definedName>
    <definedName function="false" hidden="false" name="a_package_weight_g" vbProcedure="false">Assumptions!$C$43</definedName>
    <definedName function="false" hidden="false" name="a_package_width_mm" vbProcedure="false">Assumptions!$C$41</definedName>
    <definedName function="false" hidden="false" name="a_pkg_girth_cm" vbProcedure="false">Assumptions!$C$120</definedName>
    <definedName function="false" hidden="false" name="a_pkg_longest_mm" vbProcedure="false">Assumptions!$C$117</definedName>
    <definedName function="false" hidden="false" name="a_pkg_mid_mm" vbProcedure="false">Assumptions!$C$119</definedName>
    <definedName function="false" hidden="false" name="a_pkg_shortest_mm" vbProcedure="false">Assumptions!$C$118</definedName>
    <definedName function="false" hidden="false" name="a_pkg_tier_idx" vbProcedure="false">Assumptions!$C$122</definedName>
    <definedName function="false" hidden="false" name="a_pkg_tier_name" vbProcedure="false">Assumptions!$C$123</definedName>
    <definedName function="false" hidden="false" name="a_points_rate" vbProcedure="false">Assumptions!$C$20</definedName>
    <definedName function="false" hidden="false" name="a_ppc_launch_monthly_min_jpy" vbProcedure="false">Assumptions!$C$66</definedName>
    <definedName function="false" hidden="false" name="a_prepay_order_pct" vbProcedure="false">Assumptions!$C$36</definedName>
    <definedName function="false" hidden="false" name="a_production_lead_days" vbProcedure="false">Assumptions!$C$93</definedName>
    <definedName function="false" hidden="false" name="a_products_sharing_overhead" vbProcedure="false">Assumptions!$C$74</definedName>
    <definedName function="false" hidden="false" name="a_promo_fixed_jpy" vbProcedure="false">Assumptions!$C$24</definedName>
    <definedName function="false" hidden="false" name="a_promo_launch_months" vbProcedure="false">Assumptions!$C$22</definedName>
    <definedName function="false" hidden="false" name="a_promo_rate_launch" vbProcedure="false">Assumptions!$C$21</definedName>
    <definedName function="false" hidden="false" name="a_promo_rate_steady" vbProcedure="false">Assumptions!$C$23</definedName>
    <definedName function="false" hidden="false" name="a_ramp_months" vbProcedure="false">Assumptions!$C$12</definedName>
    <definedName function="false" hidden="false" name="a_referral_rate_value" vbProcedure="false">Assumptions!$C$48</definedName>
    <definedName function="false" hidden="false" name="a_refund_admin_cap_jpy" vbProcedure="false">Assumptions!$C$57</definedName>
    <definedName function="false" hidden="false" name="a_refund_admin_pct_of_referral" vbProcedure="false">Assumptions!$C$56</definedName>
    <definedName function="false" hidden="false" name="a_return_rate" vbProcedure="false">Assumptions!$C$25</definedName>
    <definedName function="false" hidden="false" name="a_return_salvage_rate" vbProcedure="false">Assumptions!$C$33</definedName>
    <definedName function="false" hidden="false" name="a_scenario" vbProcedure="false">Assumptions!$C$114</definedName>
    <definedName function="false" hidden="false" name="a_scn_asp_jpy" vbProcedure="false">Assumptions!$C$111:$C$113</definedName>
    <definedName function="false" hidden="false" name="a_scn_names" vbProcedure="false">Assumptions!$B$111:$B$113</definedName>
    <definedName function="false" hidden="false" name="a_scn_tacos_y1_end" vbProcedure="false">Assumptions!$E$111:$E$113</definedName>
    <definedName function="false" hidden="false" name="a_scn_tacos_y1_start" vbProcedure="false">Assumptions!$D$111:$D$113</definedName>
    <definedName function="false" hidden="false" name="a_scn_tacos_y2" vbProcedure="false">Assumptions!$F$111:$F$113</definedName>
    <definedName function="false" hidden="false" name="a_scn_tacos_y3" vbProcedure="false">Assumptions!$G$111:$G$113</definedName>
    <definedName function="false" hidden="false" name="a_scn_target_share" vbProcedure="false">Assumptions!$H$111:$H$113</definedName>
    <definedName function="false" hidden="false" name="a_seasonality" vbProcedure="false">Assumptions!$C$106:$N$106</definedName>
    <definedName function="false" hidden="false" name="a_settlement_days" vbProcedure="false">Assumptions!$C$96</definedName>
    <definedName function="false" hidden="false" name="a_share_cap" vbProcedure="false">Assumptions!$C$11</definedName>
    <definedName function="false" hidden="false" name="a_shrinkage_rate" vbProcedure="false">Assumptions!$C$32</definedName>
    <definedName function="false" hidden="false" name="a_storage_rate_jan_sep" vbProcedure="false">Assumptions!$C$54</definedName>
    <definedName function="false" hidden="false" name="a_storage_rate_oct_dec" vbProcedure="false">Assumptions!$C$55</definedName>
    <definedName function="false" hidden="false" name="a_subscription_monthly_jpy" vbProcedure="false">Assumptions!$C$72</definedName>
    <definedName function="false" hidden="false" name="a_supplier_invoice_credit_rate" vbProcedure="false">Assumptions!$C$34</definedName>
    <definedName function="false" hidden="false" name="a_tacos_y1_end" vbProcedure="false">Assumptions!$C$63</definedName>
    <definedName function="false" hidden="false" name="a_tacos_y1_start" vbProcedure="false">Assumptions!$C$62</definedName>
    <definedName function="false" hidden="false" name="a_tacos_y2" vbProcedure="false">Assumptions!$C$64</definedName>
    <definedName function="false" hidden="false" name="a_tacos_y3" vbProcedure="false">Assumptions!$C$65</definedName>
    <definedName function="false" hidden="false" name="a_target_share" vbProcedure="false">Assumptions!$C$10</definedName>
    <definedName function="false" hidden="false" name="a_units_360d" vbProcedure="false">Assumptions!$C$9</definedName>
    <definedName function="false" hidden="false" name="a_unit_cogs_jpy" vbProcedure="false">Assumptions!$C$29</definedName>
    <definedName function="false" hidden="false" name="a_unit_vol_1000cm3" vbProcedure="false">Assumptions!$C$50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<sst xmlns="http://schemas.openxmlformats.org/spreadsheetml/2006/main" count="1556" uniqueCount="781">
  <si>
    <t xml:space="preserve">Made for Doraemon</t>
  </si>
  <si>
    <t xml:space="preserve">Sample product (template)</t>
  </si>
  <si>
    <t xml:space="preserve">CURRENCY</t>
  </si>
  <si>
    <t xml:space="preserve">JPY</t>
  </si>
  <si>
    <r>
      <rPr>
        <i val="true"/>
        <sz val="9"/>
        <color rgb="FF636E72"/>
        <rFont val="Arial Unicode MS"/>
        <family val="2"/>
      </rPr>
      <t xml:space="preserve">保湿 化粧水 </t>
    </r>
    <r>
      <rPr>
        <i val="true"/>
        <sz val="9"/>
        <color rgb="FF636E72"/>
        <rFont val="Segoe UI"/>
        <family val="0"/>
        <charset val="1"/>
      </rPr>
      <t xml:space="preserve">· 36-month financial model · sales start Aug · built 2026-06-18</t>
    </r>
  </si>
  <si>
    <t xml:space="preserve">Input quality flags: cogs-benchmark, no-payback-within-36m  —  see Assumptions for what each means.</t>
  </si>
  <si>
    <t xml:space="preserve">Key indicators (live — follow the scenario switcher)</t>
  </si>
  <si>
    <t xml:space="preserve">3Y EBITDA</t>
  </si>
  <si>
    <t xml:space="preserve">EBITDA MARGIN, YEAR 3</t>
  </si>
  <si>
    <t xml:space="preserve">PAYBACK MONTH</t>
  </si>
  <si>
    <t xml:space="preserve">PEAK FUNDING NEED</t>
  </si>
  <si>
    <t xml:space="preserve">PEAK FUNDING (USD)</t>
  </si>
  <si>
    <t xml:space="preserve">REVENUE, YEAR 1</t>
  </si>
  <si>
    <t xml:space="preserve">GROSS MARGIN (PRICE - FEES)</t>
  </si>
  <si>
    <t xml:space="preserve">NET CONTRIBUTION (M7-12)</t>
  </si>
  <si>
    <t xml:space="preserve">Scenario comparison</t>
  </si>
  <si>
    <t xml:space="preserve">Scenario</t>
  </si>
  <si>
    <t xml:space="preserve">EBITDA Y1</t>
  </si>
  <si>
    <t xml:space="preserve">EBITDA 3Y</t>
  </si>
  <si>
    <t xml:space="preserve">Margin Y3</t>
  </si>
  <si>
    <t xml:space="preserve">Payback</t>
  </si>
  <si>
    <t xml:space="preserve">Peak funding</t>
  </si>
  <si>
    <t xml:space="preserve">Gross Margin</t>
  </si>
  <si>
    <t xml:space="preserve">Net Contribution</t>
  </si>
  <si>
    <t xml:space="preserve">pessimistic</t>
  </si>
  <si>
    <t xml:space="preserve">n/a</t>
  </si>
  <si>
    <t xml:space="preserve">base</t>
  </si>
  <si>
    <t xml:space="preserve">optimistic</t>
  </si>
  <si>
    <t xml:space="preserve">Static engine snapshot per scenario; the cards above and all P&amp;L/Cash sheets are live and follow the Assumptions switcher.</t>
  </si>
  <si>
    <t xml:space="preserve">Key inputs (live)</t>
  </si>
  <si>
    <t xml:space="preserve">Selling price (active scenario)</t>
  </si>
  <si>
    <t xml:space="preserve">Unit cost</t>
  </si>
  <si>
    <t xml:space="preserve">Target market share</t>
  </si>
  <si>
    <t xml:space="preserve">Ad spend % (month 1)</t>
  </si>
  <si>
    <t xml:space="preserve">Launch ad budget floor / mo</t>
  </si>
  <si>
    <t xml:space="preserve">Launch costs (incl. contingency)</t>
  </si>
  <si>
    <t xml:space="preserve">Model 9fcc27a6-4dce-47b4-81ae-8308eb866f32 · engine fm-7 · shipped on the base scenario · full inputs on the Assumptions sheet</t>
  </si>
  <si>
    <t xml:space="preserve">Investment Criteria</t>
  </si>
  <si>
    <t xml:space="preserve">Live go / no-go check against the four financial gates. Follows the scenario switcher; the $ gates use the fixed USD memo rate. Green = met.</t>
  </si>
  <si>
    <t xml:space="preserve">Criterion</t>
  </si>
  <si>
    <t xml:space="preserve">Target</t>
  </si>
  <si>
    <t xml:space="preserve">This product</t>
  </si>
  <si>
    <t xml:space="preserve">Status</t>
  </si>
  <si>
    <t xml:space="preserve">Launch budget — peak cash need stays within budget</t>
  </si>
  <si>
    <t xml:space="preserve">max $20,000</t>
  </si>
  <si>
    <t xml:space="preserve">Cumulative revenue, first 6 sales months</t>
  </si>
  <si>
    <t xml:space="preserve">min $7,000</t>
  </si>
  <si>
    <t xml:space="preserve">Gross margin after Amazon fees (referral + FBA)</t>
  </si>
  <si>
    <t xml:space="preserve">min 40%</t>
  </si>
  <si>
    <t xml:space="preserve">Net contribution margin at steady state (month 7+)</t>
  </si>
  <si>
    <t xml:space="preserve">min 15%</t>
  </si>
  <si>
    <t xml:space="preserve">Definitions — Revenue = gross sales (units x selling price, tax-inclusive). Gross margin = (Selling price - referral - FBA) / price. Net contribution margin = (Revenue - COGS - Amazon fees - PPC) / Revenue, at steady state (months 7-12). The $ gates are evaluated in USD at the memo rate regardless of the display currency. Flip the scenario on Assumptions to test each one.</t>
  </si>
  <si>
    <t xml:space="preserve">Assumptions</t>
  </si>
  <si>
    <t xml:space="preserve">Every input that drives the model — edit the purple cells, the whole workbook recalculates. Source / confidence / as-of show what each number rests on. 'Structural' rows need a rebuild by the agent.</t>
  </si>
  <si>
    <t xml:space="preserve">Volume &amp; demand</t>
  </si>
  <si>
    <t xml:space="preserve">Assumption</t>
  </si>
  <si>
    <t xml:space="preserve">Value</t>
  </si>
  <si>
    <t xml:space="preserve">Unit</t>
  </si>
  <si>
    <t xml:space="preserve">What it is &amp; what it drives</t>
  </si>
  <si>
    <t xml:space="preserve">Source</t>
  </si>
  <si>
    <t xml:space="preserve">Confidence</t>
  </si>
  <si>
    <t xml:space="preserve">As of</t>
  </si>
  <si>
    <t xml:space="preserve">Key (for the agent)</t>
  </si>
  <si>
    <t xml:space="preserve">Niche demand (units / year)</t>
  </si>
  <si>
    <t xml:space="preserve">units</t>
  </si>
  <si>
    <t xml:space="preserve">How many units the whole niche sells on Amazon JP per year. The base of every revenue number: your sales = this demand x your market share.</t>
  </si>
  <si>
    <t xml:space="preserve">enrichment.units_360d</t>
  </si>
  <si>
    <t xml:space="preserve">med</t>
  </si>
  <si>
    <t xml:space="preserve">2026-06-11</t>
  </si>
  <si>
    <t xml:space="preserve">units_360d</t>
  </si>
  <si>
    <t xml:space="preserve">ratio</t>
  </si>
  <si>
    <t xml:space="preserve">The share of niche demand you aim to capture once ramped up. Drives units sold, and through them every revenue, cost and cash line.</t>
  </si>
  <si>
    <t xml:space="preserve">internal default — single new entrant</t>
  </si>
  <si>
    <t xml:space="preserve">low</t>
  </si>
  <si>
    <t xml:space="preserve">target_share</t>
  </si>
  <si>
    <t xml:space="preserve">Market-share cap</t>
  </si>
  <si>
    <t xml:space="preserve">A plausibility ceiling: even optimistic scenarios cannot assume more than this share of the niche.</t>
  </si>
  <si>
    <t xml:space="preserve">internal default — plausibility cap</t>
  </si>
  <si>
    <t xml:space="preserve">share_cap</t>
  </si>
  <si>
    <t xml:space="preserve">Ramp-up (months)</t>
  </si>
  <si>
    <t xml:space="preserve">months</t>
  </si>
  <si>
    <t xml:space="preserve">How many months it takes to grow from launch to the full target share. Shorter ramp = faster revenue but a bigger first inventory order.</t>
  </si>
  <si>
    <t xml:space="preserve">internal default — typical PL ramp</t>
  </si>
  <si>
    <t xml:space="preserve">ramp_months</t>
  </si>
  <si>
    <t xml:space="preserve">Market growth, year 2</t>
  </si>
  <si>
    <t xml:space="preserve">How much the whole niche grows in year 2 (from search-volume trend). Grows the market, not your share.</t>
  </si>
  <si>
    <t xml:space="preserve">niches.search_volume_growth_180d annualized, clamped</t>
  </si>
  <si>
    <t xml:space="preserve">demand_growth_y2</t>
  </si>
  <si>
    <t xml:space="preserve">Market growth, year 3</t>
  </si>
  <si>
    <t xml:space="preserve">Same as year 2, applied on top in year 3.</t>
  </si>
  <si>
    <t xml:space="preserve">demand_growth_y3</t>
  </si>
  <si>
    <t xml:space="preserve">Launch month (1-12)</t>
  </si>
  <si>
    <t xml:space="preserve">month</t>
  </si>
  <si>
    <t xml:space="preserve">The calendar month of the first sales month (M1). Anchors seasonality and the Oct-Dec storage-fee season; every month column shows its calendar month.</t>
  </si>
  <si>
    <t xml:space="preserve">build month + lead window (default)</t>
  </si>
  <si>
    <t xml:space="preserve">launch_calendar_month</t>
  </si>
  <si>
    <t xml:space="preserve">Revenue</t>
  </si>
  <si>
    <t xml:space="preserve">Consumption tax rate (sales)</t>
  </si>
  <si>
    <t xml:space="preserve">JCT inside the Amazon price (10%; 8% for food/beverage). Carved out of every sale: revenue you keep = price / (1 + rate).</t>
  </si>
  <si>
    <t xml:space="preserve">NTA standard rate; 8% food only via explicit user override</t>
  </si>
  <si>
    <t xml:space="preserve">high</t>
  </si>
  <si>
    <t xml:space="preserve">jct_rate_output</t>
  </si>
  <si>
    <t xml:space="preserve">Amazon Points</t>
  </si>
  <si>
    <t xml:space="preserve">Seller-funded points Amazon adds to JP listings by default (~1% of price). Reduces revenue.</t>
  </si>
  <si>
    <t xml:space="preserve">Amazon JP points default</t>
  </si>
  <si>
    <t xml:space="preserve">points_rate</t>
  </si>
  <si>
    <t xml:space="preserve">Promo discounts — launch</t>
  </si>
  <si>
    <t xml:space="preserve">Coupons and deals as % of sales during the launch window (incl. their Amazon fees). Launch is promo-heavy to win the first reviews and rank.</t>
  </si>
  <si>
    <t xml:space="preserve">Axalpha JP coupon/deal fees 2025-06</t>
  </si>
  <si>
    <t xml:space="preserve">promo_rate_launch</t>
  </si>
  <si>
    <t xml:space="preserve">Launch window (months)</t>
  </si>
  <si>
    <t xml:space="preserve">How long the launch-level promo rate and the launch PPC budget floor apply.</t>
  </si>
  <si>
    <t xml:space="preserve">internal default</t>
  </si>
  <si>
    <t xml:space="preserve">promo_launch_months</t>
  </si>
  <si>
    <t xml:space="preserve">Promo discounts — steady</t>
  </si>
  <si>
    <t xml:space="preserve">Ongoing coupons/deals as % of sales after the launch window.</t>
  </si>
  <si>
    <t xml:space="preserve">promo_rate_steady</t>
  </si>
  <si>
    <t xml:space="preserve">Promo fixed cost / month</t>
  </si>
  <si>
    <t xml:space="preserve">jpy</t>
  </si>
  <si>
    <t xml:space="preserve">Flat monthly promo spend (e.g. recurring deal-day fees), if any.</t>
  </si>
  <si>
    <t xml:space="preserve">promo_fixed_jpy</t>
  </si>
  <si>
    <t xml:space="preserve">Return rate</t>
  </si>
  <si>
    <t xml:space="preserve">Share of orders customers return (JP rates are low, 1-7% by category). Reverses revenue; returned units are written off in full.</t>
  </si>
  <si>
    <t xml:space="preserve">niches.return_rate_360d</t>
  </si>
  <si>
    <t xml:space="preserve">return_rate</t>
  </si>
  <si>
    <t xml:space="preserve">Product cost &amp; supply</t>
  </si>
  <si>
    <t xml:space="preserve">Unit cost (procurement)</t>
  </si>
  <si>
    <t xml:space="preserve">What one unit costs to buy or manufacture in Japan, before tax. The single biggest profit driver. A wholesale benchmark until a supplier/OEM quote replaces it.</t>
  </si>
  <si>
    <t xml:space="preserve">ECのミカタ 掛け率</t>
  </si>
  <si>
    <t xml:space="preserve">unit_cogs_jpy</t>
  </si>
  <si>
    <t xml:space="preserve">Logistics to Amazon / unit</t>
  </si>
  <si>
    <t xml:space="preserve">Moving one unit from the supplier to the Amazon warehouse (prep + carrier).</t>
  </si>
  <si>
    <t xml:space="preserve">FBA partner carrier (Yamato)</t>
  </si>
  <si>
    <t xml:space="preserve">logistics_jpy_per_unit</t>
  </si>
  <si>
    <t xml:space="preserve">Quality inspection / unit</t>
  </si>
  <si>
    <t xml:space="preserve">Acceptance testing per unit; usually 0 for wholesale, set it for OEM batches.</t>
  </si>
  <si>
    <t xml:space="preserve">internal default — set per OEM contract</t>
  </si>
  <si>
    <t xml:space="preserve">inspection_jpy_per_unit</t>
  </si>
  <si>
    <t xml:space="preserve">Shrinkage &amp; write-offs</t>
  </si>
  <si>
    <t xml:space="preserve">Goods lost or damaged in the supply chain, % of goods cost.</t>
  </si>
  <si>
    <t xml:space="preserve">Value Added Resource FBA reimbursement 2025</t>
  </si>
  <si>
    <t xml:space="preserve">shrinkage_rate</t>
  </si>
  <si>
    <t xml:space="preserve">Returns salvage</t>
  </si>
  <si>
    <t xml:space="preserve">Share of a returned unit's cost you recover by reselling it. 0 = every return is a full write-off (conservative).</t>
  </si>
  <si>
    <t xml:space="preserve">internal default (conservative)</t>
  </si>
  <si>
    <t xml:space="preserve">return_salvage_rate</t>
  </si>
  <si>
    <t xml:space="preserve">Supplier tax-invoice credit</t>
  </si>
  <si>
    <t xml:space="preserve">1.0 if the supplier issues a qualified invoice (their JCT is fully recoverable). 0.8/0.5 for non-registered suppliers — the lost share becomes product cost.</t>
  </si>
  <si>
    <t xml:space="preserve">NTA invoice system transitional credits</t>
  </si>
  <si>
    <t xml:space="preserve">supplier_invoice_credit_rate</t>
  </si>
  <si>
    <t xml:space="preserve">Minimum order quantity</t>
  </si>
  <si>
    <t xml:space="preserve">The smallest batch the supplier accepts. If it exceeds what you need, cash gets locked in extra stock.</t>
  </si>
  <si>
    <t xml:space="preserve">no MOQ until a supplier quote provides one</t>
  </si>
  <si>
    <t xml:space="preserve">moq_units</t>
  </si>
  <si>
    <t xml:space="preserve">Supplier prepayment</t>
  </si>
  <si>
    <t xml:space="preserve">Share of the order paid when ordering (rest on delivery). Higher prepay = more cash needed earlier.</t>
  </si>
  <si>
    <r>
      <rPr>
        <i val="true"/>
        <sz val="9"/>
        <color rgb="FF636E72"/>
        <rFont val="Segoe UI"/>
        <family val="0"/>
        <charset val="1"/>
      </rPr>
      <t xml:space="preserve">JP OEM convention 50% at order / 50% at delivery; set 0 for </t>
    </r>
    <r>
      <rPr>
        <i val="true"/>
        <sz val="9"/>
        <color rgb="FF636E72"/>
        <rFont val="Arial Unicode MS"/>
        <family val="2"/>
      </rPr>
      <t xml:space="preserve">掛け払い </t>
    </r>
    <r>
      <rPr>
        <i val="true"/>
        <sz val="9"/>
        <color rgb="FF636E72"/>
        <rFont val="Segoe UI"/>
        <family val="0"/>
        <charset val="1"/>
      </rPr>
      <t xml:space="preserve">invoice terms</t>
    </r>
  </si>
  <si>
    <t xml:space="preserve">prepay_order_pct</t>
  </si>
  <si>
    <t xml:space="preserve">Product size &amp; Amazon category — edit these</t>
  </si>
  <si>
    <t xml:space="preserve">Package length (mm)</t>
  </si>
  <si>
    <t xml:space="preserve">mm</t>
  </si>
  <si>
    <t xml:space="preserve">Longest side of the shipped package. Drives the FBA size tier and the storage volume — enter the real packed dimensions and the fees recompute.</t>
  </si>
  <si>
    <t xml:space="preserve">enrichment package dims</t>
  </si>
  <si>
    <t xml:space="preserve">package_length_mm</t>
  </si>
  <si>
    <t xml:space="preserve">Package width (mm)</t>
  </si>
  <si>
    <t xml:space="preserve">Second side of the shipped package. Used for the size tier and storage volume.</t>
  </si>
  <si>
    <t xml:space="preserve">package_width_mm</t>
  </si>
  <si>
    <t xml:space="preserve">Package height (mm)</t>
  </si>
  <si>
    <t xml:space="preserve">Third side of the shipped package. Used for the size tier and storage volume.</t>
  </si>
  <si>
    <t xml:space="preserve">package_height_mm</t>
  </si>
  <si>
    <t xml:space="preserve">Package weight (g)</t>
  </si>
  <si>
    <t xml:space="preserve">g</t>
  </si>
  <si>
    <t xml:space="preserve">Shipped weight including packaging. Together with the size it sets the FBA tier (each tier has a weight ceiling).</t>
  </si>
  <si>
    <t xml:space="preserve">package_weight_g</t>
  </si>
  <si>
    <t xml:space="preserve">Amazon fee category</t>
  </si>
  <si>
    <t xml:space="preserve">Beauty, health &amp; personal care</t>
  </si>
  <si>
    <t xml:space="preserve">category</t>
  </si>
  <si>
    <t xml:space="preserve">mapped from niche category_group (amazon_jp_referral.yaml)</t>
  </si>
  <si>
    <t xml:space="preserve">amazon_fee_category</t>
  </si>
  <si>
    <t xml:space="preserve">Amazon fees — computed from size, category &amp; price (do not edit)</t>
  </si>
  <si>
    <t xml:space="preserve">Referral fee rate (computed)</t>
  </si>
  <si>
    <t xml:space="preserve">Amazon's category commission, computed from the category + base price band (5% ≤¥750, then the category rate). Applied to price; min 30 JPY/item at use.</t>
  </si>
  <si>
    <t xml:space="preserve">amazon_jp_referral.yaml banded by category + base price (tax-excluded)</t>
  </si>
  <si>
    <t xml:space="preserve">referral_rate_value</t>
  </si>
  <si>
    <t xml:space="preserve">FBA fulfillment fee / unit (computed)</t>
  </si>
  <si>
    <t xml:space="preserve">amazon_jp_fba_fees.yaml via size tier (published tax-incl -&gt; net)</t>
  </si>
  <si>
    <t xml:space="preserve">fba_fee_net</t>
  </si>
  <si>
    <t xml:space="preserve">Package volume (computed)</t>
  </si>
  <si>
    <t xml:space="preserve">1000cm3</t>
  </si>
  <si>
    <t xml:space="preserve">The packaged product's volume (units of 1,000 cm3), computed from the dimensions. Drives storage fees.</t>
  </si>
  <si>
    <t xml:space="preserve">package dims (L x W x H)</t>
  </si>
  <si>
    <t xml:space="preserve">unit_vol_1000cm3</t>
  </si>
  <si>
    <t xml:space="preserve">Amazon fees — rates &amp; limits (editable)</t>
  </si>
  <si>
    <t xml:space="preserve">Storage rate Jan-Sep</t>
  </si>
  <si>
    <t xml:space="preserve">jpy_per_1000cm3</t>
  </si>
  <si>
    <t xml:space="preserve">Monthly warehouse fee per 1,000 cm3 of stock, January-September season.</t>
  </si>
  <si>
    <t xml:space="preserve">Amazon JP pricing 在庫保管手数料</t>
  </si>
  <si>
    <t xml:space="preserve">storage_rate_jan_sep</t>
  </si>
  <si>
    <t xml:space="preserve">Storage rate Oct-Dec</t>
  </si>
  <si>
    <t xml:space="preserve">The higher Q4 rate — holiday-season storage costs nearly double.</t>
  </si>
  <si>
    <t xml:space="preserve">storage_rate_oct_dec</t>
  </si>
  <si>
    <t xml:space="preserve">Refund admin fee</t>
  </si>
  <si>
    <t xml:space="preserve">On a return Amazon gives the referral fee back minus this share (capped).</t>
  </si>
  <si>
    <t xml:space="preserve">Amazon refund administration fee</t>
  </si>
  <si>
    <t xml:space="preserve">refund_admin_pct_of_referral</t>
  </si>
  <si>
    <t xml:space="preserve">Refund admin fee cap</t>
  </si>
  <si>
    <t xml:space="preserve">The maximum refund-admin fee per unit.</t>
  </si>
  <si>
    <t xml:space="preserve">same</t>
  </si>
  <si>
    <t xml:space="preserve">refund_admin_cap_jpy</t>
  </si>
  <si>
    <t xml:space="preserve">Consumption tax rate (services)</t>
  </si>
  <si>
    <t xml:space="preserve">The 10% JCT on Amazon fees and logistics. Recoverable for a registered seller — used only to convert published fees to their net cost.</t>
  </si>
  <si>
    <t xml:space="preserve">NTA — fee de-JCT divisor, services always 10%</t>
  </si>
  <si>
    <t xml:space="preserve">jct_rate_standard</t>
  </si>
  <si>
    <t xml:space="preserve">Marketing</t>
  </si>
  <si>
    <t xml:space="preserve">Ad spend % — launch (TACoS)</t>
  </si>
  <si>
    <t xml:space="preserve">Total advertising as % of sales in month 1. Launch needs heavy ads; the rate declines linearly to the year-1 exit level by month 12.</t>
  </si>
  <si>
    <t xml:space="preserve">markenote.jp JP CPC ¥50-300</t>
  </si>
  <si>
    <t xml:space="preserve">tacos_y1_start</t>
  </si>
  <si>
    <t xml:space="preserve">Ad spend % — end of year 1</t>
  </si>
  <si>
    <t xml:space="preserve">Where the ad-spend share lands after the first year of rank building.</t>
  </si>
  <si>
    <t xml:space="preserve">benchmark band</t>
  </si>
  <si>
    <t xml:space="preserve">tacos_y1_end</t>
  </si>
  <si>
    <t xml:space="preserve">Ad spend % — year 2</t>
  </si>
  <si>
    <t xml:space="preserve">Steadier ad share once reviews and rank exist.</t>
  </si>
  <si>
    <t xml:space="preserve">tacos_y2</t>
  </si>
  <si>
    <t xml:space="preserve">Ad spend % — year 3</t>
  </si>
  <si>
    <t xml:space="preserve">Mature ad share, mostly defending position.</t>
  </si>
  <si>
    <t xml:space="preserve">tacos_y3</t>
  </si>
  <si>
    <t xml:space="preserve">Launch ad budget floor / month</t>
  </si>
  <si>
    <t xml:space="preserve">Minimum monthly ad spend during the launch window, even while sales are tiny — the kick-start budget that buys visibility before revenue exists.</t>
  </si>
  <si>
    <t xml:space="preserve">internal default — launch visibility budget floor</t>
  </si>
  <si>
    <t xml:space="preserve">ppc_launch_monthly_min_jpy</t>
  </si>
  <si>
    <t xml:space="preserve">Influencers &amp; affiliates / month</t>
  </si>
  <si>
    <t xml:space="preserve">Bloggers, social seeding, affiliate fees. 0 unless you plan creator marketing.</t>
  </si>
  <si>
    <t xml:space="preserve">internal default — set when creator marketing is planned</t>
  </si>
  <si>
    <t xml:space="preserve">influencer_monthly_jpy</t>
  </si>
  <si>
    <t xml:space="preserve">Content &amp; creative / month</t>
  </si>
  <si>
    <t xml:space="preserve">Photography, A+ pages, video — keeping the listing competitive.</t>
  </si>
  <si>
    <t xml:space="preserve">photography/A+/video retainer benchmark</t>
  </si>
  <si>
    <t xml:space="preserve">content_monthly_jpy</t>
  </si>
  <si>
    <t xml:space="preserve">Overhead &amp; management fee (the fee covers all admin)</t>
  </si>
  <si>
    <t xml:space="preserve">Amazon subscription</t>
  </si>
  <si>
    <t xml:space="preserve">The Professional selling plan (4,900 JPY/mo + tax), shared across live products.</t>
  </si>
  <si>
    <t xml:space="preserve">Amazon JP pricing 大口出品</t>
  </si>
  <si>
    <t xml:space="preserve">subscription_monthly_jpy</t>
  </si>
  <si>
    <t xml:space="preserve">Product liability insurance</t>
  </si>
  <si>
    <t xml:space="preserve">Required by Amazon above ~1M JPY monthly sales; cheap, mandatory.</t>
  </si>
  <si>
    <t xml:space="preserve">Marsh Amazon seller insurance</t>
  </si>
  <si>
    <t xml:space="preserve">insurance_monthly_jpy</t>
  </si>
  <si>
    <t xml:space="preserve">Products sharing overhead</t>
  </si>
  <si>
    <t xml:space="preserve">count</t>
  </si>
  <si>
    <t xml:space="preserve">How many live products split the management fee, subscription and accounting. 1 = this product carries everything (conservative).</t>
  </si>
  <si>
    <t xml:space="preserve">fully loaded (conservative) until the user states otherwise</t>
  </si>
  <si>
    <t xml:space="preserve">products_sharing_overhead</t>
  </si>
  <si>
    <t xml:space="preserve">Management fee — type</t>
  </si>
  <si>
    <t xml:space="preserve">fixed</t>
  </si>
  <si>
    <t xml:space="preserve">enum</t>
  </si>
  <si>
    <t xml:space="preserve">The fee covers management AND all admin overhead (accounting, software, misc). fixed = flat monthly; pct_net_revenue / pct_gross_sales = flex % of sales; hybrid = fixed + flex together (the dynamic option).</t>
  </si>
  <si>
    <t xml:space="preserve">default off</t>
  </si>
  <si>
    <t xml:space="preserve">mgmt_fee_mode</t>
  </si>
  <si>
    <t xml:space="preserve">Management fee — fixed / month</t>
  </si>
  <si>
    <t xml:space="preserve">The flat part, JPY/month. Default ¥70k absorbs the former admin lines (accounting ~¥50k, software ~¥10k, misc ~¥10k).</t>
  </si>
  <si>
    <t xml:space="preserve">absorbs former admin defaults: accounting ¥50k (税理士 ¥500-700k/yr</t>
  </si>
  <si>
    <t xml:space="preserve">mgmt_fee_fixed_jpy</t>
  </si>
  <si>
    <t xml:space="preserve">Management fee — flex %</t>
  </si>
  <si>
    <t xml:space="preserve">The flex part: % of the chosen sales base.</t>
  </si>
  <si>
    <t xml:space="preserve">mgmt_fee_pct</t>
  </si>
  <si>
    <t xml:space="preserve">Management fee — start month</t>
  </si>
  <si>
    <t xml:space="preserve">First month the fee applies.</t>
  </si>
  <si>
    <t xml:space="preserve">default</t>
  </si>
  <si>
    <t xml:space="preserve">mgmt_fee_start_month</t>
  </si>
  <si>
    <t xml:space="preserve">Management fee — yearly increase</t>
  </si>
  <si>
    <t xml:space="preserve">Annual escalation of the fixed part (e.g. 0.10 = +10%/year).</t>
  </si>
  <si>
    <t xml:space="preserve">mgmt_fee_escalation_pct</t>
  </si>
  <si>
    <t xml:space="preserve">Launch costs (one-time)</t>
  </si>
  <si>
    <t xml:space="preserve">Launch: samples</t>
  </si>
  <si>
    <t xml:space="preserve">Sample rounds before committing to a supplier.</t>
  </si>
  <si>
    <t xml:space="preserve">sample rounds benchmark</t>
  </si>
  <si>
    <t xml:space="preserve">capex_samples_jpy</t>
  </si>
  <si>
    <t xml:space="preserve">Launch: photo &amp; A+ production</t>
  </si>
  <si>
    <t xml:space="preserve">The launch content shoot: photos, A+ design, video.</t>
  </si>
  <si>
    <t xml:space="preserve">launch photography/A+ production</t>
  </si>
  <si>
    <t xml:space="preserve">capex_content_jpy</t>
  </si>
  <si>
    <t xml:space="preserve">Launch: trademark</t>
  </si>
  <si>
    <t xml:space="preserve">JP trademark registration (enables Brand Registry).</t>
  </si>
  <si>
    <t xml:space="preserve">Cotobox trademark cost</t>
  </si>
  <si>
    <t xml:space="preserve">capex_trademark_jpy</t>
  </si>
  <si>
    <t xml:space="preserve">Launch: Vine reviews</t>
  </si>
  <si>
    <t xml:space="preserve">Amazon Vine — free promo units given to vetted reviewers in exchange for the first honest reviews (the legitimate 'reviews promo').</t>
  </si>
  <si>
    <t xml:space="preserve">Vine JP fees</t>
  </si>
  <si>
    <t xml:space="preserve">capex_vine_jpy</t>
  </si>
  <si>
    <t xml:space="preserve">Launch: certification &amp; lab tests</t>
  </si>
  <si>
    <t xml:space="preserve">Category-dependent compliance testing before sale.</t>
  </si>
  <si>
    <t xml:space="preserve">category lab tests placeholder — category-dependent</t>
  </si>
  <si>
    <t xml:space="preserve">capex_certification_jpy</t>
  </si>
  <si>
    <t xml:space="preserve">Launch: OEM tooling</t>
  </si>
  <si>
    <t xml:space="preserve">Molds/tooling for custom manufacturing — comes from the OEM quote.</t>
  </si>
  <si>
    <t xml:space="preserve">quote-based; enter with the OEM quote</t>
  </si>
  <si>
    <t xml:space="preserve">capex_oem_tooling_jpy</t>
  </si>
  <si>
    <t xml:space="preserve">Launch: contingency</t>
  </si>
  <si>
    <t xml:space="preserve">Safety margin on top of the itemized launch costs.</t>
  </si>
  <si>
    <t xml:space="preserve">contingency on itemized CAPEX</t>
  </si>
  <si>
    <t xml:space="preserve">capex_contingency_pct</t>
  </si>
  <si>
    <t xml:space="preserve">Cash cycle — structural (rebuild to change)</t>
  </si>
  <si>
    <t xml:space="preserve">Production lead (days)</t>
  </si>
  <si>
    <t xml:space="preserve">days</t>
  </si>
  <si>
    <t xml:space="preserve">Supplier needs this long to produce an order.</t>
  </si>
  <si>
    <t xml:space="preserve">domestic OEM/wholesale lead</t>
  </si>
  <si>
    <t xml:space="preserve">production_lead_days</t>
  </si>
  <si>
    <t xml:space="preserve">Delivery (days)</t>
  </si>
  <si>
    <t xml:space="preserve">Supplier-to-Amazon-warehouse transit.</t>
  </si>
  <si>
    <t xml:space="preserve">domestic supplier-&gt;FC delivery</t>
  </si>
  <si>
    <t xml:space="preserve">delivery_days</t>
  </si>
  <si>
    <t xml:space="preserve">Inventory cover (days)</t>
  </si>
  <si>
    <t xml:space="preserve">How many days of future sales the warehouse should hold. More cover = fewer stockouts but more cash in stock and higher storage fees.</t>
  </si>
  <si>
    <t xml:space="preserve">internal default (min 28: low-inventory-fee mitigation)</t>
  </si>
  <si>
    <t xml:space="preserve">cover_days</t>
  </si>
  <si>
    <t xml:space="preserve">Amazon payout cycle (days)</t>
  </si>
  <si>
    <t xml:space="preserve">Amazon holds your money this long before paying out (~2 weeks).</t>
  </si>
  <si>
    <t xml:space="preserve">Amazon JP disbursement cycle (~14d)</t>
  </si>
  <si>
    <t xml:space="preserve">settlement_days</t>
  </si>
  <si>
    <t xml:space="preserve">Tax settlement window (months)</t>
  </si>
  <si>
    <t xml:space="preserve">How often consumption tax is settled with the tax office. Affects cash timing only.</t>
  </si>
  <si>
    <t xml:space="preserve">quarterly interim JCT payments</t>
  </si>
  <si>
    <t xml:space="preserve">jct_filing_interval_months</t>
  </si>
  <si>
    <t xml:space="preserve">Memo</t>
  </si>
  <si>
    <t xml:space="preserve">JPY per USD (memo)</t>
  </si>
  <si>
    <t xml:space="preserve">jpy_per_usd</t>
  </si>
  <si>
    <t xml:space="preserve">Only used to show the funding need in dollars for the $20k criterion.</t>
  </si>
  <si>
    <t xml:space="preserve">criteria.yaml</t>
  </si>
  <si>
    <t xml:space="preserve">fx_jpy_per_usd</t>
  </si>
  <si>
    <t xml:space="preserve">Seasonality (demand by calendar month)</t>
  </si>
  <si>
    <t xml:space="preserve">Index per calendar month, average = 1.0 (1.2 = month sells 20% above average). Sales start in Aug (launch month) — every month column on the P&amp;L shows its calendar month. Flat 1.0 until per-niche seasonality is collected.</t>
  </si>
  <si>
    <t xml:space="preserve">Seasonality index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</si>
  <si>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</si>
  <si>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</si>
  <si>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</si>
  <si>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</si>
  <si>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</si>
  <si>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</si>
  <si>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</si>
  <si>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</si>
  <si>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</si>
  <si>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</si>
  <si>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</si>
  <si>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</si>
  <si>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Scenarios</t>
  </si>
  <si>
    <t xml:space="preserve">Three one-sided stress bundles. Pick the active one below — every live sheet recalculates. Prices come from the niche's real price band (lower quartile / median / upper quartile).</t>
  </si>
  <si>
    <t xml:space="preserve">Price ¥</t>
  </si>
  <si>
    <t xml:space="preserve">Ad % M1</t>
  </si>
  <si>
    <t xml:space="preserve">Ad % M12</t>
  </si>
  <si>
    <t xml:space="preserve">Ad % Y2</t>
  </si>
  <si>
    <t xml:space="preserve">Ad % Y3</t>
  </si>
  <si>
    <t xml:space="preserve">Target share</t>
  </si>
  <si>
    <t xml:space="preserve">ACTIVE SCENARIO</t>
  </si>
  <si>
    <t xml:space="preserve">Derived (computed — do not edit)</t>
  </si>
  <si>
    <t xml:space="preserve">pkg_longest_mm</t>
  </si>
  <si>
    <t xml:space="preserve">Longest package side (mm)</t>
  </si>
  <si>
    <t xml:space="preserve">pkg_shortest_mm</t>
  </si>
  <si>
    <t xml:space="preserve">Shortest package side (mm)</t>
  </si>
  <si>
    <t xml:space="preserve">pkg_mid_mm</t>
  </si>
  <si>
    <t xml:space="preserve">Middle package side (mm)</t>
  </si>
  <si>
    <t xml:space="preserve">pkg_girth_cm</t>
  </si>
  <si>
    <t xml:space="preserve">Girth — sum of the three sides (cm)</t>
  </si>
  <si>
    <t xml:space="preserve">fee_cat_idx</t>
  </si>
  <si>
    <t xml:space="preserve">Row of the chosen Amazon category in Fee Reference</t>
  </si>
  <si>
    <t xml:space="preserve">pkg_tier_idx</t>
  </si>
  <si>
    <t xml:space="preserve">First FBA size tier the package fits (Fee Reference row)</t>
  </si>
  <si>
    <t xml:space="preserve">pkg_tier_name</t>
  </si>
  <si>
    <t xml:space="preserve">FBA size tier for this package</t>
  </si>
  <si>
    <t xml:space="preserve">act_asp_jpy</t>
  </si>
  <si>
    <t xml:space="preserve">Active selling price for the chosen scenario</t>
  </si>
  <si>
    <t xml:space="preserve">act_tacos_y1_start</t>
  </si>
  <si>
    <t xml:space="preserve">Active ad share, month 1</t>
  </si>
  <si>
    <t xml:space="preserve">act_tacos_y1_end</t>
  </si>
  <si>
    <t xml:space="preserve">Active ad share, month 12</t>
  </si>
  <si>
    <t xml:space="preserve">act_tacos_y2</t>
  </si>
  <si>
    <t xml:space="preserve">Active ad share, year 2</t>
  </si>
  <si>
    <t xml:space="preserve">act_tacos_y3</t>
  </si>
  <si>
    <t xml:space="preserve">Active ad share, year 3</t>
  </si>
  <si>
    <t xml:space="preserve">act_target_share</t>
  </si>
  <si>
    <t xml:space="preserve">Active target market share</t>
  </si>
  <si>
    <t xml:space="preserve">act_referral_pu</t>
  </si>
  <si>
    <t xml:space="preserve">Referral fee per unit (min ¥30)</t>
  </si>
  <si>
    <t xml:space="preserve">act_refund_admin_pu</t>
  </si>
  <si>
    <t xml:space="preserve">Refund admin fee per returned unit</t>
  </si>
  <si>
    <t xml:space="preserve">act_cogs_pu</t>
  </si>
  <si>
    <t xml:space="preserve">Unit cost incl. non-recoverable supplier tax</t>
  </si>
  <si>
    <t xml:space="preserve">act_basis_pu</t>
  </si>
  <si>
    <t xml:space="preserve">Full landed value of one unit in stock</t>
  </si>
  <si>
    <t xml:space="preserve">act_capex_total</t>
  </si>
  <si>
    <t xml:space="preserve">Total launch costs incl. contingency</t>
  </si>
  <si>
    <t xml:space="preserve">Fee Reference</t>
  </si>
  <si>
    <t xml:space="preserve">The Amazon Japan fee tables that drive the calculator on the Assumptions sheet — reference data, do not edit. Source: sell.amazon.co.jp/pricing, effective 2026-04-01 (referral verified 2026-06-18, FBA 2026-06-04). FBA fees tax-incl; referral tax-excl.</t>
  </si>
  <si>
    <r>
      <rPr>
        <b val="true"/>
        <sz val="16"/>
        <color rgb="FFFFFFFF"/>
        <rFont val="Bebas Neue"/>
        <family val="0"/>
        <charset val="1"/>
      </rPr>
      <t xml:space="preserve">FBA fulfilment fee by size tier (</t>
    </r>
    <r>
      <rPr>
        <b val="true"/>
        <sz val="16"/>
        <color rgb="FFFFFFFF"/>
        <rFont val="Arial Unicode MS"/>
        <family val="2"/>
      </rPr>
      <t xml:space="preserve">配送代行手数料</t>
    </r>
    <r>
      <rPr>
        <b val="true"/>
        <sz val="16"/>
        <color rgb="FFFFFFFF"/>
        <rFont val="Bebas Neue"/>
        <family val="0"/>
        <charset val="1"/>
      </rPr>
      <t xml:space="preserve">, tax-incl ¥)</t>
    </r>
  </si>
  <si>
    <t xml:space="preserve">Size tier</t>
  </si>
  <si>
    <t xml:space="preserve">Explicit?</t>
  </si>
  <si>
    <t xml:space="preserve">max L mm</t>
  </si>
  <si>
    <t xml:space="preserve">max W mm</t>
  </si>
  <si>
    <t xml:space="preserve">max H mm</t>
  </si>
  <si>
    <t xml:space="preserve">max girth cm</t>
  </si>
  <si>
    <t xml:space="preserve">max wt g</t>
  </si>
  <si>
    <t xml:space="preserve">fee ¥</t>
  </si>
  <si>
    <t xml:space="preserve">fee ¥ (≤¥1,000)</t>
  </si>
  <si>
    <t xml:space="preserve">fits</t>
  </si>
  <si>
    <t xml:space="preserve">小型</t>
  </si>
  <si>
    <r>
      <rPr>
        <sz val="10"/>
        <color rgb="FF2D3436"/>
        <rFont val="Arial Unicode MS"/>
        <family val="2"/>
      </rPr>
      <t xml:space="preserve">標準</t>
    </r>
    <r>
      <rPr>
        <sz val="10"/>
        <color rgb="FF2D3436"/>
        <rFont val="Segoe UI"/>
        <family val="0"/>
        <charset val="1"/>
      </rPr>
      <t xml:space="preserve">1</t>
    </r>
  </si>
  <si>
    <r>
      <rPr>
        <sz val="10"/>
        <color rgb="FF2D3436"/>
        <rFont val="Arial Unicode MS"/>
        <family val="2"/>
      </rPr>
      <t xml:space="preserve">標準</t>
    </r>
    <r>
      <rPr>
        <sz val="10"/>
        <color rgb="FF2D3436"/>
        <rFont val="Segoe UI"/>
        <family val="0"/>
        <charset val="1"/>
      </rPr>
      <t xml:space="preserve">2</t>
    </r>
  </si>
  <si>
    <r>
      <rPr>
        <sz val="10"/>
        <color rgb="FF2D3436"/>
        <rFont val="Arial Unicode MS"/>
        <family val="2"/>
      </rPr>
      <t xml:space="preserve">標準</t>
    </r>
    <r>
      <rPr>
        <sz val="10"/>
        <color rgb="FF2D3436"/>
        <rFont val="Segoe UI"/>
        <family val="0"/>
        <charset val="1"/>
      </rPr>
      <t xml:space="preserve">3</t>
    </r>
  </si>
  <si>
    <r>
      <rPr>
        <sz val="10"/>
        <color rgb="FF2D3436"/>
        <rFont val="Arial Unicode MS"/>
        <family val="2"/>
      </rPr>
      <t xml:space="preserve">標準</t>
    </r>
    <r>
      <rPr>
        <sz val="10"/>
        <color rgb="FF2D3436"/>
        <rFont val="Segoe UI"/>
        <family val="0"/>
        <charset val="1"/>
      </rPr>
      <t xml:space="preserve">4</t>
    </r>
  </si>
  <si>
    <r>
      <rPr>
        <sz val="10"/>
        <color rgb="FF2D3436"/>
        <rFont val="Arial Unicode MS"/>
        <family val="2"/>
      </rPr>
      <t xml:space="preserve">標準</t>
    </r>
    <r>
      <rPr>
        <sz val="10"/>
        <color rgb="FF2D3436"/>
        <rFont val="Segoe UI"/>
        <family val="0"/>
        <charset val="1"/>
      </rPr>
      <t xml:space="preserve">5</t>
    </r>
  </si>
  <si>
    <r>
      <rPr>
        <sz val="10"/>
        <color rgb="FF2D3436"/>
        <rFont val="Arial Unicode MS"/>
        <family val="2"/>
      </rPr>
      <t xml:space="preserve">標準</t>
    </r>
    <r>
      <rPr>
        <sz val="10"/>
        <color rgb="FF2D3436"/>
        <rFont val="Segoe UI"/>
        <family val="0"/>
        <charset val="1"/>
      </rPr>
      <t xml:space="preserve">6</t>
    </r>
  </si>
  <si>
    <r>
      <rPr>
        <sz val="10"/>
        <color rgb="FF2D3436"/>
        <rFont val="Arial Unicode MS"/>
        <family val="2"/>
      </rPr>
      <t xml:space="preserve">標準</t>
    </r>
    <r>
      <rPr>
        <sz val="10"/>
        <color rgb="FF2D3436"/>
        <rFont val="Segoe UI"/>
        <family val="0"/>
        <charset val="1"/>
      </rPr>
      <t xml:space="preserve">7</t>
    </r>
  </si>
  <si>
    <r>
      <rPr>
        <sz val="10"/>
        <color rgb="FF2D3436"/>
        <rFont val="Arial Unicode MS"/>
        <family val="2"/>
      </rPr>
      <t xml:space="preserve">標準</t>
    </r>
    <r>
      <rPr>
        <sz val="10"/>
        <color rgb="FF2D3436"/>
        <rFont val="Segoe UI"/>
        <family val="0"/>
        <charset val="1"/>
      </rPr>
      <t xml:space="preserve">8</t>
    </r>
  </si>
  <si>
    <r>
      <rPr>
        <sz val="10"/>
        <color rgb="FF2D3436"/>
        <rFont val="Arial Unicode MS"/>
        <family val="2"/>
      </rPr>
      <t xml:space="preserve">大型</t>
    </r>
    <r>
      <rPr>
        <sz val="10"/>
        <color rgb="FF2D3436"/>
        <rFont val="Segoe UI"/>
        <family val="0"/>
        <charset val="1"/>
      </rPr>
      <t xml:space="preserve">1</t>
    </r>
  </si>
  <si>
    <r>
      <rPr>
        <sz val="10"/>
        <color rgb="FF2D3436"/>
        <rFont val="Arial Unicode MS"/>
        <family val="2"/>
      </rPr>
      <t xml:space="preserve">大型</t>
    </r>
    <r>
      <rPr>
        <sz val="10"/>
        <color rgb="FF2D3436"/>
        <rFont val="Segoe UI"/>
        <family val="0"/>
        <charset val="1"/>
      </rPr>
      <t xml:space="preserve">2</t>
    </r>
  </si>
  <si>
    <r>
      <rPr>
        <sz val="10"/>
        <color rgb="FF2D3436"/>
        <rFont val="Arial Unicode MS"/>
        <family val="2"/>
      </rPr>
      <t xml:space="preserve">大型</t>
    </r>
    <r>
      <rPr>
        <sz val="10"/>
        <color rgb="FF2D3436"/>
        <rFont val="Segoe UI"/>
        <family val="0"/>
        <charset val="1"/>
      </rPr>
      <t xml:space="preserve">3</t>
    </r>
  </si>
  <si>
    <r>
      <rPr>
        <sz val="10"/>
        <color rgb="FF2D3436"/>
        <rFont val="Arial Unicode MS"/>
        <family val="2"/>
      </rPr>
      <t xml:space="preserve">大型</t>
    </r>
    <r>
      <rPr>
        <sz val="10"/>
        <color rgb="FF2D3436"/>
        <rFont val="Segoe UI"/>
        <family val="0"/>
        <charset val="1"/>
      </rPr>
      <t xml:space="preserve">4</t>
    </r>
  </si>
  <si>
    <r>
      <rPr>
        <sz val="10"/>
        <color rgb="FF2D3436"/>
        <rFont val="Arial Unicode MS"/>
        <family val="2"/>
      </rPr>
      <t xml:space="preserve">大型</t>
    </r>
    <r>
      <rPr>
        <sz val="10"/>
        <color rgb="FF2D3436"/>
        <rFont val="Segoe UI"/>
        <family val="0"/>
        <charset val="1"/>
      </rPr>
      <t xml:space="preserve">5</t>
    </r>
  </si>
  <si>
    <r>
      <rPr>
        <sz val="10"/>
        <color rgb="FF2D3436"/>
        <rFont val="Arial Unicode MS"/>
        <family val="2"/>
      </rPr>
      <t xml:space="preserve">大型</t>
    </r>
    <r>
      <rPr>
        <sz val="10"/>
        <color rgb="FF2D3436"/>
        <rFont val="Segoe UI"/>
        <family val="0"/>
        <charset val="1"/>
      </rPr>
      <t xml:space="preserve">6</t>
    </r>
  </si>
  <si>
    <r>
      <rPr>
        <sz val="10"/>
        <color rgb="FF2D3436"/>
        <rFont val="Arial Unicode MS"/>
        <family val="2"/>
      </rPr>
      <t xml:space="preserve">大型</t>
    </r>
    <r>
      <rPr>
        <sz val="10"/>
        <color rgb="FF2D3436"/>
        <rFont val="Segoe UI"/>
        <family val="0"/>
        <charset val="1"/>
      </rPr>
      <t xml:space="preserve">7</t>
    </r>
  </si>
  <si>
    <r>
      <rPr>
        <sz val="10"/>
        <color rgb="FF2D3436"/>
        <rFont val="Arial Unicode MS"/>
        <family val="2"/>
      </rPr>
      <t xml:space="preserve">大型</t>
    </r>
    <r>
      <rPr>
        <sz val="10"/>
        <color rgb="FF2D3436"/>
        <rFont val="Segoe UI"/>
        <family val="0"/>
        <charset val="1"/>
      </rPr>
      <t xml:space="preserve">8</t>
    </r>
  </si>
  <si>
    <r>
      <rPr>
        <sz val="10"/>
        <color rgb="FF2D3436"/>
        <rFont val="Arial Unicode MS"/>
        <family val="2"/>
      </rPr>
      <t xml:space="preserve">特大型</t>
    </r>
    <r>
      <rPr>
        <sz val="10"/>
        <color rgb="FF2D3436"/>
        <rFont val="Segoe UI"/>
        <family val="0"/>
        <charset val="1"/>
      </rPr>
      <t xml:space="preserve">1</t>
    </r>
  </si>
  <si>
    <r>
      <rPr>
        <sz val="10"/>
        <color rgb="FF2D3436"/>
        <rFont val="Arial Unicode MS"/>
        <family val="2"/>
      </rPr>
      <t xml:space="preserve">特大型</t>
    </r>
    <r>
      <rPr>
        <sz val="10"/>
        <color rgb="FF2D3436"/>
        <rFont val="Segoe UI"/>
        <family val="0"/>
        <charset val="1"/>
      </rPr>
      <t xml:space="preserve">2</t>
    </r>
  </si>
  <si>
    <r>
      <rPr>
        <sz val="10"/>
        <color rgb="FF2D3436"/>
        <rFont val="Arial Unicode MS"/>
        <family val="2"/>
      </rPr>
      <t xml:space="preserve">特大型</t>
    </r>
    <r>
      <rPr>
        <sz val="10"/>
        <color rgb="FF2D3436"/>
        <rFont val="Segoe UI"/>
        <family val="0"/>
        <charset val="1"/>
      </rPr>
      <t xml:space="preserve">3</t>
    </r>
  </si>
  <si>
    <r>
      <rPr>
        <sz val="10"/>
        <color rgb="FF2D3436"/>
        <rFont val="Arial Unicode MS"/>
        <family val="2"/>
      </rPr>
      <t xml:space="preserve">特大型</t>
    </r>
    <r>
      <rPr>
        <sz val="10"/>
        <color rgb="FF2D3436"/>
        <rFont val="Segoe UI"/>
        <family val="0"/>
        <charset val="1"/>
      </rPr>
      <t xml:space="preserve">4</t>
    </r>
  </si>
  <si>
    <r>
      <rPr>
        <sz val="10"/>
        <color rgb="FF2D3436"/>
        <rFont val="Arial Unicode MS"/>
        <family val="2"/>
      </rPr>
      <t xml:space="preserve">特大型</t>
    </r>
    <r>
      <rPr>
        <sz val="10"/>
        <color rgb="FF2D3436"/>
        <rFont val="Segoe UI"/>
        <family val="0"/>
        <charset val="1"/>
      </rPr>
      <t xml:space="preserve">5</t>
    </r>
  </si>
  <si>
    <r>
      <rPr>
        <b val="true"/>
        <sz val="16"/>
        <color rgb="FFFFFFFF"/>
        <rFont val="Bebas Neue"/>
        <family val="0"/>
        <charset val="1"/>
      </rPr>
      <t xml:space="preserve">Referral fee by category (</t>
    </r>
    <r>
      <rPr>
        <b val="true"/>
        <sz val="16"/>
        <color rgb="FFFFFFFF"/>
        <rFont val="Arial Unicode MS"/>
        <family val="2"/>
      </rPr>
      <t xml:space="preserve">販売手数料</t>
    </r>
    <r>
      <rPr>
        <b val="true"/>
        <sz val="16"/>
        <color rgb="FFFFFFFF"/>
        <rFont val="Bebas Neue"/>
        <family val="0"/>
        <charset val="1"/>
      </rPr>
      <t xml:space="preserve">, tax-excluded %)</t>
    </r>
  </si>
  <si>
    <t xml:space="preserve">Category (English)</t>
  </si>
  <si>
    <t xml:space="preserve">カテゴリー</t>
  </si>
  <si>
    <t xml:space="preserve">&lt;=¥750</t>
  </si>
  <si>
    <t xml:space="preserve">¥750-1,500</t>
  </si>
  <si>
    <t xml:space="preserve">&gt;¥1,500</t>
  </si>
  <si>
    <t xml:space="preserve">ビューティ・ヘルス・パーソナルケア</t>
  </si>
  <si>
    <t xml:space="preserve">Drugstore</t>
  </si>
  <si>
    <t xml:space="preserve">ドラッグストア</t>
  </si>
  <si>
    <t xml:space="preserve">Food &amp; beverage</t>
  </si>
  <si>
    <t xml:space="preserve">食品・飲料</t>
  </si>
  <si>
    <t xml:space="preserve">Baby &amp; maternity</t>
  </si>
  <si>
    <t xml:space="preserve">ベビー・マタニティ</t>
  </si>
  <si>
    <t xml:space="preserve">Pet supplies</t>
  </si>
  <si>
    <t xml:space="preserve">ペット用品</t>
  </si>
  <si>
    <t xml:space="preserve">Sports &amp; outdoors</t>
  </si>
  <si>
    <t xml:space="preserve">スポーツ・アウトドア</t>
  </si>
  <si>
    <t xml:space="preserve">Home &amp; kitchen</t>
  </si>
  <si>
    <t xml:space="preserve">ホーム・キッチン</t>
  </si>
  <si>
    <t xml:space="preserve">Home &amp; kitchen appliances</t>
  </si>
  <si>
    <t xml:space="preserve">ホーム・キッチン家電</t>
  </si>
  <si>
    <t xml:space="preserve">Toys &amp; hobbies</t>
  </si>
  <si>
    <t xml:space="preserve">おもちゃ・ホビー</t>
  </si>
  <si>
    <t xml:space="preserve">Stationery &amp; office</t>
  </si>
  <si>
    <t xml:space="preserve">文房具・オフィス用品</t>
  </si>
  <si>
    <t xml:space="preserve">Gardening</t>
  </si>
  <si>
    <t xml:space="preserve">ガーデニング・園芸用品</t>
  </si>
  <si>
    <t xml:space="preserve">Everything else (default)</t>
  </si>
  <si>
    <t xml:space="preserve">その他のカテゴリー</t>
  </si>
  <si>
    <t xml:space="preserve">P&amp;L — 36 months</t>
  </si>
  <si>
    <t xml:space="preserve">Live formulas; costs negative; sales start Aug (launch month drives seasonality). Flip the scenario on the Assumptions sheet and everything recalculates.</t>
  </si>
  <si>
    <t xml:space="preserve">P&amp;L line</t>
  </si>
  <si>
    <t xml:space="preserve">M1 · Aug</t>
  </si>
  <si>
    <t xml:space="preserve">M2 · Sep</t>
  </si>
  <si>
    <t xml:space="preserve">M3 · Oct</t>
  </si>
  <si>
    <t xml:space="preserve">M4 · Nov</t>
  </si>
  <si>
    <t xml:space="preserve">M5 · Dec</t>
  </si>
  <si>
    <t xml:space="preserve">M6 · Jan</t>
  </si>
  <si>
    <t xml:space="preserve">M7 · Feb</t>
  </si>
  <si>
    <t xml:space="preserve">M8 · Mar</t>
  </si>
  <si>
    <t xml:space="preserve">M9 · Apr</t>
  </si>
  <si>
    <t xml:space="preserve">M10 · May</t>
  </si>
  <si>
    <t xml:space="preserve">M11 · Jun</t>
  </si>
  <si>
    <t xml:space="preserve">M12 · Jul</t>
  </si>
  <si>
    <t xml:space="preserve">M13 · Aug</t>
  </si>
  <si>
    <t xml:space="preserve">M14 · Sep</t>
  </si>
  <si>
    <t xml:space="preserve">M15 · Oct</t>
  </si>
  <si>
    <t xml:space="preserve">M16 · Nov</t>
  </si>
  <si>
    <t xml:space="preserve">M17 · Dec</t>
  </si>
  <si>
    <t xml:space="preserve">M18 · Jan</t>
  </si>
  <si>
    <t xml:space="preserve">M19 · Feb</t>
  </si>
  <si>
    <t xml:space="preserve">M20 · Mar</t>
  </si>
  <si>
    <t xml:space="preserve">M21 · Apr</t>
  </si>
  <si>
    <t xml:space="preserve">M22 · May</t>
  </si>
  <si>
    <t xml:space="preserve">M23 · Jun</t>
  </si>
  <si>
    <t xml:space="preserve">M24 · Jul</t>
  </si>
  <si>
    <t xml:space="preserve">M25 · Aug</t>
  </si>
  <si>
    <t xml:space="preserve">M26 · Sep</t>
  </si>
  <si>
    <t xml:space="preserve">M27 · Oct</t>
  </si>
  <si>
    <t xml:space="preserve">M28 · Nov</t>
  </si>
  <si>
    <t xml:space="preserve">M29 · Dec</t>
  </si>
  <si>
    <t xml:space="preserve">M30 · Jan</t>
  </si>
  <si>
    <t xml:space="preserve">M31 · Feb</t>
  </si>
  <si>
    <t xml:space="preserve">M32 · Mar</t>
  </si>
  <si>
    <t xml:space="preserve">M33 · Apr</t>
  </si>
  <si>
    <t xml:space="preserve">M34 · May</t>
  </si>
  <si>
    <t xml:space="preserve">M35 · Jun</t>
  </si>
  <si>
    <t xml:space="preserve">M36 · Jul</t>
  </si>
  <si>
    <t xml:space="preserve">· demand (whole niche, units)</t>
  </si>
  <si>
    <t xml:space="preserve">· your market share</t>
  </si>
  <si>
    <t xml:space="preserve">Units sold</t>
  </si>
  <si>
    <t xml:space="preserve">ASP (tax-incl)</t>
  </si>
  <si>
    <t xml:space="preserve">Gross sales</t>
  </si>
  <si>
    <t xml:space="preserve">Output JCT</t>
  </si>
  <si>
    <t xml:space="preserve">Promotions &amp; deals</t>
  </si>
  <si>
    <t xml:space="preserve">Returns</t>
  </si>
  <si>
    <t xml:space="preserve">Net revenue</t>
  </si>
  <si>
    <t xml:space="preserve">Unit procurement cost</t>
  </si>
  <si>
    <t xml:space="preserve">Domestic logistics to FBA</t>
  </si>
  <si>
    <t xml:space="preserve">Inspection / QC</t>
  </si>
  <si>
    <t xml:space="preserve">Gross profit</t>
  </si>
  <si>
    <t xml:space="preserve">Referral fee</t>
  </si>
  <si>
    <t xml:space="preserve">FBA fulfillment</t>
  </si>
  <si>
    <t xml:space="preserve">Storage</t>
  </si>
  <si>
    <t xml:space="preserve">Long-term storage</t>
  </si>
  <si>
    <t xml:space="preserve">Referral refund on returns</t>
  </si>
  <si>
    <t xml:space="preserve">Contribution margin</t>
  </si>
  <si>
    <t xml:space="preserve">PPC advertising</t>
  </si>
  <si>
    <t xml:space="preserve">Content &amp; creative</t>
  </si>
  <si>
    <t xml:space="preserve">Influencers &amp; affiliates</t>
  </si>
  <si>
    <t xml:space="preserve">Subscription</t>
  </si>
  <si>
    <t xml:space="preserve">Insurance (PL)</t>
  </si>
  <si>
    <t xml:space="preserve">Management fee &amp; admin</t>
  </si>
  <si>
    <t xml:space="preserve">EBITDA</t>
  </si>
  <si>
    <t xml:space="preserve">EBITDA margin %</t>
  </si>
  <si>
    <t xml:space="preserve">Operating metrics</t>
  </si>
  <si>
    <t xml:space="preserve">Advertising ROAS</t>
  </si>
  <si>
    <t xml:space="preserve">Inventory turnover</t>
  </si>
  <si>
    <t xml:space="preserve">· long-term storage (pessimistic)</t>
  </si>
  <si>
    <t xml:space="preserve">· long-term storage (base)</t>
  </si>
  <si>
    <t xml:space="preserve">· long-term storage (optimistic)</t>
  </si>
  <si>
    <t xml:space="preserve">P&amp;L — annual</t>
  </si>
  <si>
    <t xml:space="preserve">Yearly rollups of the live monthly P&amp;L.</t>
  </si>
  <si>
    <t xml:space="preserve">Year 1</t>
  </si>
  <si>
    <t xml:space="preserve">Year 2</t>
  </si>
  <si>
    <t xml:space="preserve">Year 3</t>
  </si>
  <si>
    <t xml:space="preserve">Total</t>
  </si>
  <si>
    <t xml:space="preserve">Investment &amp; Cash</t>
  </si>
  <si>
    <t xml:space="preserve">Pre-launch months + 36 sales months. Peak funding need already includes launch costs and the first inventory order.</t>
  </si>
  <si>
    <t xml:space="preserve">Cash line</t>
  </si>
  <si>
    <t xml:space="preserve">PRE-2 · Jun</t>
  </si>
  <si>
    <t xml:space="preserve">PRE-1 · Jul</t>
  </si>
  <si>
    <t xml:space="preserve">Stock opening</t>
  </si>
  <si>
    <t xml:space="preserve">Order placed</t>
  </si>
  <si>
    <t xml:space="preserve">Receipts</t>
  </si>
  <si>
    <t xml:space="preserve">Stock closing</t>
  </si>
  <si>
    <t xml:space="preserve">· net receipts</t>
  </si>
  <si>
    <t xml:space="preserve">· output jct</t>
  </si>
  <si>
    <t xml:space="preserve">· input credits</t>
  </si>
  <si>
    <t xml:space="preserve">Supplier payments</t>
  </si>
  <si>
    <t xml:space="preserve">Domestic logistics paid</t>
  </si>
  <si>
    <t xml:space="preserve">Input JCT on purchases</t>
  </si>
  <si>
    <t xml:space="preserve">Launch CAPEX</t>
  </si>
  <si>
    <t xml:space="preserve">Opex &amp; marketing cash</t>
  </si>
  <si>
    <t xml:space="preserve">Amazon disbursement</t>
  </si>
  <si>
    <t xml:space="preserve">JCT settlement</t>
  </si>
  <si>
    <t xml:space="preserve">Monthly net cash</t>
  </si>
  <si>
    <t xml:space="preserve">Cumulative cash</t>
  </si>
  <si>
    <t xml:space="preserve">· payback flag</t>
  </si>
  <si>
    <t xml:space="preserve">· trough position</t>
  </si>
  <si>
    <t xml:space="preserve">KPIs (live — follow the scenario switcher)</t>
  </si>
  <si>
    <t xml:space="preserve">Peak funding need (JPY)</t>
  </si>
  <si>
    <t xml:space="preserve">Peak funding need (USD memo)</t>
  </si>
  <si>
    <t xml:space="preserve">Payback month</t>
  </si>
  <si>
    <t xml:space="preserve">3Y cumulative project cash</t>
  </si>
  <si>
    <t xml:space="preserve">3Y EBITDA (accrual)</t>
  </si>
  <si>
    <t xml:space="preserve">3Y EBITDA - CAPEX (accrual memo)</t>
  </si>
  <si>
    <t xml:space="preserve">Gross Margin: (Price - Referral - FBA) / Price</t>
  </si>
  <si>
    <t xml:space="preserve">Net Contribution Margin (M7-12): (Rev - COGS - Fees - PPC) / Rev</t>
  </si>
  <si>
    <t xml:space="preserve">Terminal inventory (units, memo)</t>
  </si>
  <si>
    <t xml:space="preserve">Terminal inventory (value, memo)</t>
  </si>
  <si>
    <t xml:space="preserve">Sensitivity</t>
  </si>
  <si>
    <t xml:space="preserve">One factor at a time on the base scenario, computed by the engine. This sheet is intentionally static (no formulas) — it shows full model re-runs, which a single spreadsheet formula cannot express; it refreshes on every rebuild.</t>
  </si>
  <si>
    <t xml:space="preserve">Driver</t>
  </si>
  <si>
    <t xml:space="preserve">Low: EBITDA 3Y</t>
  </si>
  <si>
    <t xml:space="preserve">Low: payback</t>
  </si>
  <si>
    <t xml:space="preserve">Low: peak ¥</t>
  </si>
  <si>
    <t xml:space="preserve">High: EBITDA 3Y</t>
  </si>
  <si>
    <t xml:space="preserve">High: payback</t>
  </si>
  <si>
    <t xml:space="preserve">High: peak ¥</t>
  </si>
  <si>
    <t xml:space="preserve">asp</t>
  </si>
  <si>
    <t xml:space="preserve">unit_cogs</t>
  </si>
  <si>
    <t xml:space="preserve">tacos</t>
  </si>
  <si>
    <t xml:space="preserve">fee_drift</t>
  </si>
  <si>
    <t xml:space="preserve">Sources &amp; Benchmarks</t>
  </si>
  <si>
    <t xml:space="preserve">Where every input comes from — click a source to open it. Reconciliation note: the research-stage screen used tax-inclusive revenue, gross published FBA fees and a supplier-proxy cost; this model uses net-of-tax revenue, net fees and domestic procurement cost. The conventions differ by design; the client GM&gt;=40% gate refers to the research-stage convention.</t>
  </si>
  <si>
    <t xml:space="preserve">Input</t>
  </si>
  <si>
    <t xml:space="preserve">Layer</t>
  </si>
  <si>
    <t xml:space="preserve">Source (click to open)</t>
  </si>
  <si>
    <t xml:space="preserve">Note</t>
  </si>
  <si>
    <t xml:space="preserve">pipeline</t>
  </si>
  <si>
    <t xml:space="preserve">Price — base</t>
  </si>
  <si>
    <t xml:space="preserve">3500.0</t>
  </si>
  <si>
    <t xml:space="preserve">enrichment live price band</t>
  </si>
  <si>
    <t xml:space="preserve">Price — optimistic</t>
  </si>
  <si>
    <t xml:space="preserve">4200.0</t>
  </si>
  <si>
    <t xml:space="preserve">Price — pessimistic</t>
  </si>
  <si>
    <t xml:space="preserve">2800.0</t>
  </si>
  <si>
    <t xml:space="preserve">100000</t>
  </si>
  <si>
    <t xml:space="preserve">bundled</t>
  </si>
  <si>
    <t xml:space="preserve">150000</t>
  </si>
  <si>
    <t xml:space="preserve">0.1</t>
  </si>
  <si>
    <t xml:space="preserve">0</t>
  </si>
  <si>
    <t xml:space="preserve">50000</t>
  </si>
  <si>
    <t xml:space="preserve">Cotobox trademark cost — https://cotobox.com/primer/registration-fee/; JPO fees — https://www.jpo.go.jp/system/process/tesuryo/hyou.html</t>
  </si>
  <si>
    <t xml:space="preserve">22000</t>
  </si>
  <si>
    <t xml:space="preserve">Vine JP fees — https://www.hideandseek.co.jp/archives/7954 (¥0/¥10k/¥22k tiers)</t>
  </si>
  <si>
    <t xml:space="preserve">category buckets</t>
  </si>
  <si>
    <r>
      <rPr>
        <i val="true"/>
        <sz val="9"/>
        <color rgb="FF636E72"/>
        <rFont val="Segoe UI"/>
        <family val="0"/>
        <charset val="1"/>
      </rPr>
      <t xml:space="preserve">[['</t>
    </r>
    <r>
      <rPr>
        <i val="true"/>
        <sz val="9"/>
        <color rgb="FF636E72"/>
        <rFont val="Arial Unicode MS"/>
        <family val="2"/>
      </rPr>
      <t xml:space="preserve">食品</t>
    </r>
    <r>
      <rPr>
        <i val="true"/>
        <sz val="9"/>
        <color rgb="FF636E72"/>
        <rFont val="Segoe UI"/>
        <family val="0"/>
        <charset val="1"/>
      </rPr>
      <t xml:space="preserve">', 'food'], ['</t>
    </r>
    <r>
      <rPr>
        <i val="true"/>
        <sz val="9"/>
        <color rgb="FF636E72"/>
        <rFont val="Arial Unicode MS"/>
        <family val="2"/>
      </rPr>
      <t xml:space="preserve">フード</t>
    </r>
    <r>
      <rPr>
        <i val="true"/>
        <sz val="9"/>
        <color rgb="FF636E72"/>
        <rFont val="Segoe UI"/>
        <family val="0"/>
        <charset val="1"/>
      </rPr>
      <t xml:space="preserve">', 'food'], ['</t>
    </r>
    <r>
      <rPr>
        <i val="true"/>
        <sz val="9"/>
        <color rgb="FF636E72"/>
        <rFont val="Arial Unicode MS"/>
        <family val="2"/>
      </rPr>
      <t xml:space="preserve">サプリ</t>
    </r>
    <r>
      <rPr>
        <i val="true"/>
        <sz val="9"/>
        <color rgb="FF636E72"/>
        <rFont val="Segoe UI"/>
        <family val="0"/>
        <charset val="1"/>
      </rPr>
      <t xml:space="preserve">', 'food'], ['</t>
    </r>
    <r>
      <rPr>
        <i val="true"/>
        <sz val="9"/>
        <color rgb="FF636E72"/>
        <rFont val="Arial Unicode MS"/>
        <family val="2"/>
      </rPr>
      <t xml:space="preserve">飲料</t>
    </r>
    <r>
      <rPr>
        <i val="true"/>
        <sz val="9"/>
        <color rgb="FF636E72"/>
        <rFont val="Segoe UI"/>
        <family val="0"/>
        <charset val="1"/>
      </rPr>
      <t xml:space="preserve">', 'food'], ['</t>
    </r>
    <r>
      <rPr>
        <i val="true"/>
        <sz val="9"/>
        <color rgb="FF636E72"/>
        <rFont val="Arial Unicode MS"/>
        <family val="2"/>
      </rPr>
      <t xml:space="preserve">ビューティ</t>
    </r>
    <r>
      <rPr>
        <i val="true"/>
        <sz val="9"/>
        <color rgb="FF636E72"/>
        <rFont val="Segoe UI"/>
        <family val="0"/>
        <charset val="1"/>
      </rPr>
      <t xml:space="preserve">', 'co</t>
    </r>
  </si>
  <si>
    <t xml:space="preserve">internal mapping over the canonical niche base category groups</t>
  </si>
  <si>
    <t xml:space="preserve">cogs ratio</t>
  </si>
  <si>
    <t xml:space="preserve">{'cosmetics': 0.45, 'apparel': 0.55, 'household': 0.55, 'food': 0.7, 'toys': 0.7</t>
  </si>
  <si>
    <t xml:space="preserve">ECのミカタ 掛け率 — https://ecnomikata.com/ecnews/35771/; FORCE-R — https://force-r.co.jp/column/column-7555/; 資生販売 — https://shiseihanbai.biz/contents/learning-ratio-of-wholesale-price-to-retail-price/</t>
  </si>
  <si>
    <t xml:space="preserve">20000</t>
  </si>
  <si>
    <t xml:space="preserve">60</t>
  </si>
  <si>
    <t xml:space="preserve">7</t>
  </si>
  <si>
    <t xml:space="preserve">demand growth clamp</t>
  </si>
  <si>
    <t xml:space="preserve">0.3</t>
  </si>
  <si>
    <t xml:space="preserve">internal default — clamp on annualized search growth</t>
  </si>
  <si>
    <t xml:space="preserve">0.2100000000000002</t>
  </si>
  <si>
    <t xml:space="preserve">fallback package</t>
  </si>
  <si>
    <t xml:space="preserve">{'length_mm': 200, 'width_mm': 150, 'height_mm': 50, 'weight_g': 300}</t>
  </si>
  <si>
    <t xml:space="preserve">category-median standard-size parcel</t>
  </si>
  <si>
    <t xml:space="preserve">377.27272727272725</t>
  </si>
  <si>
    <t xml:space="preserve">computed</t>
  </si>
  <si>
    <t xml:space="preserve">computed in-workbook</t>
  </si>
  <si>
    <t xml:space="preserve">150.0</t>
  </si>
  <si>
    <t xml:space="preserve">project</t>
  </si>
  <si>
    <t xml:space="preserve">3000</t>
  </si>
  <si>
    <t xml:space="preserve">Marsh Amazon seller insurance — https://affinity.marsh.com/amazonsellers/insights/amazon-sellers-insurance-requirements.html; domestic JP PL ¥20-50k/yr</t>
  </si>
  <si>
    <t xml:space="preserve">3</t>
  </si>
  <si>
    <t xml:space="preserve">8</t>
  </si>
  <si>
    <t xml:space="preserve">50</t>
  </si>
  <si>
    <t xml:space="preserve">FBA partner carrier (Yamato) — https://wac-works-ec.jp/amazon/fba-partner-career/</t>
  </si>
  <si>
    <t xml:space="preserve">ltsf brackets</t>
  </si>
  <si>
    <t xml:space="preserve">[{'min_days': 271, 'max_days': 300, 'rate': 16.662}, {'min_days': 301, 'max_days</t>
  </si>
  <si>
    <t xml:space="preserve">Seller Central JP 長期在庫追加手数料 — https://sellercentral.amazon.co.jp/help/hub/reference/external/GBJ9XBVWSBKZWD76; 366d+ ¥34.239 since Apr-2025, min ¥20/unit/mo from 2026-04-15</t>
  </si>
  <si>
    <t xml:space="preserve">0.0</t>
  </si>
  <si>
    <t xml:space="preserve">70000</t>
  </si>
  <si>
    <t xml:space="preserve">absorbs former admin defaults: accounting ¥50k (税理士 ¥500-700k/yr — https://www.zeiri4.com/c_1076/) + software ¥10k + misc ¥10k</t>
  </si>
  <si>
    <t xml:space="preserve">1</t>
  </si>
  <si>
    <t xml:space="preserve">180</t>
  </si>
  <si>
    <t xml:space="preserve">350.0</t>
  </si>
  <si>
    <t xml:space="preserve">0.01</t>
  </si>
  <si>
    <t xml:space="preserve">Amazon JP points default — https://sellercentral-japan.amazon.com/seller-forums/discussions/t/2e1c53d59f32e3b92493020bbeb1cb91; Marknology — https://www.marknology.com/blogs/latest-e-commerce-news/understanding-amazon-japans-amazon-points-program</t>
  </si>
  <si>
    <t xml:space="preserve">30000</t>
  </si>
  <si>
    <t xml:space="preserve">0.5</t>
  </si>
  <si>
    <t xml:space="preserve">30</t>
  </si>
  <si>
    <t xml:space="preserve">0.08</t>
  </si>
  <si>
    <t xml:space="preserve">Axalpha JP coupon/deal fees 2025-06 — https://www.axalpha.com/blog/新クーポン料金体系/</t>
  </si>
  <si>
    <t xml:space="preserve">0.02</t>
  </si>
  <si>
    <t xml:space="preserve">9</t>
  </si>
  <si>
    <t xml:space="preserve">reduced jct keywords</t>
  </si>
  <si>
    <r>
      <rPr>
        <i val="true"/>
        <sz val="9"/>
        <color rgb="FF636E72"/>
        <rFont val="Segoe UI"/>
        <family val="0"/>
        <charset val="1"/>
      </rPr>
      <t xml:space="preserve">['</t>
    </r>
    <r>
      <rPr>
        <i val="true"/>
        <sz val="9"/>
        <color rgb="FF636E72"/>
        <rFont val="Arial Unicode MS"/>
        <family val="2"/>
      </rPr>
      <t xml:space="preserve">食品</t>
    </r>
    <r>
      <rPr>
        <i val="true"/>
        <sz val="9"/>
        <color rgb="FF636E72"/>
        <rFont val="Segoe UI"/>
        <family val="0"/>
        <charset val="1"/>
      </rPr>
      <t xml:space="preserve">', '</t>
    </r>
    <r>
      <rPr>
        <i val="true"/>
        <sz val="9"/>
        <color rgb="FF636E72"/>
        <rFont val="Arial Unicode MS"/>
        <family val="2"/>
      </rPr>
      <t xml:space="preserve">サプリ</t>
    </r>
    <r>
      <rPr>
        <i val="true"/>
        <sz val="9"/>
        <color rgb="FF636E72"/>
        <rFont val="Segoe UI"/>
        <family val="0"/>
        <charset val="1"/>
      </rPr>
      <t xml:space="preserve">', '</t>
    </r>
    <r>
      <rPr>
        <i val="true"/>
        <sz val="9"/>
        <color rgb="FF636E72"/>
        <rFont val="Arial Unicode MS"/>
        <family val="2"/>
      </rPr>
      <t xml:space="preserve">飲料</t>
    </r>
    <r>
      <rPr>
        <i val="true"/>
        <sz val="9"/>
        <color rgb="FF636E72"/>
        <rFont val="Segoe UI"/>
        <family val="0"/>
        <charset val="1"/>
      </rPr>
      <t xml:space="preserve">', '</t>
    </r>
    <r>
      <rPr>
        <i val="true"/>
        <sz val="9"/>
        <color rgb="FF636E72"/>
        <rFont val="Arial Unicode MS"/>
        <family val="2"/>
      </rPr>
      <t xml:space="preserve">フード</t>
    </r>
    <r>
      <rPr>
        <i val="true"/>
        <sz val="9"/>
        <color rgb="FF636E72"/>
        <rFont val="Segoe UI"/>
        <family val="0"/>
        <charset val="1"/>
      </rPr>
      <t xml:space="preserve">', '</t>
    </r>
    <r>
      <rPr>
        <i val="true"/>
        <sz val="9"/>
        <color rgb="FF636E72"/>
        <rFont val="Arial Unicode MS"/>
        <family val="2"/>
      </rPr>
      <t xml:space="preserve">お茶</t>
    </r>
    <r>
      <rPr>
        <i val="true"/>
        <sz val="9"/>
        <color rgb="FF636E72"/>
        <rFont val="Segoe UI"/>
        <family val="0"/>
        <charset val="1"/>
      </rPr>
      <t xml:space="preserve">', '</t>
    </r>
    <r>
      <rPr>
        <i val="true"/>
        <sz val="9"/>
        <color rgb="FF636E72"/>
        <rFont val="Arial Unicode MS"/>
        <family val="2"/>
      </rPr>
      <t xml:space="preserve">コーヒー</t>
    </r>
    <r>
      <rPr>
        <i val="true"/>
        <sz val="9"/>
        <color rgb="FF636E72"/>
        <rFont val="Segoe UI"/>
        <family val="0"/>
        <charset val="1"/>
      </rPr>
      <t xml:space="preserve">']</t>
    </r>
  </si>
  <si>
    <t xml:space="preserve">NTA reduced rate — https://www.nta.go.jp/taxes/shiraberu/zeimokubetsu/shohi/keigenzeiritsu/index.htm</t>
  </si>
  <si>
    <t xml:space="preserve">0.104</t>
  </si>
  <si>
    <t xml:space="preserve">computed in-workbook from category + base price</t>
  </si>
  <si>
    <t xml:space="preserve">500</t>
  </si>
  <si>
    <t xml:space="preserve">0.2</t>
  </si>
  <si>
    <t xml:space="preserve">Amazon refund administration fee — https://sellercentral.amazon.com/gp/help/external/DC3U6FWF4JJJJC7 (lesser of 20% of referral or ¥500)</t>
  </si>
  <si>
    <t xml:space="preserve">return rate default</t>
  </si>
  <si>
    <t xml:space="preserve">{'food': 0.015, 'cosmetics': 0.035, 'apparel': 0.07, 'toys': 0.03, 'household': </t>
  </si>
  <si>
    <t xml:space="preserve">trade.gov Japan eCommerce — https://www.trade.gov/country-commercial-guides/japan-ecommerce; Velocity Sellers category medians 2026 — https://velocitysellers.com</t>
  </si>
  <si>
    <t xml:space="preserve">seasonality</t>
  </si>
  <si>
    <t xml:space="preserve">[1.0, 1.0, 1.0, 1.0, 1.0, 1.0, 1.0, 1.0, 1.0, 1.0, 1.0, 1.0]</t>
  </si>
  <si>
    <t xml:space="preserve">flat until Keepa collector ships</t>
  </si>
  <si>
    <t xml:space="preserve">14</t>
  </si>
  <si>
    <t xml:space="preserve">Amazon JP disbursement cycle (~14d) — https://sellercentral.amazon.co.jp/help/hub/reference/external/G201051980</t>
  </si>
  <si>
    <t xml:space="preserve">0.25</t>
  </si>
  <si>
    <t xml:space="preserve">Value Added Resource FBA reimbursement 2025 — https://www.valueaddedresource.net/amazon-fba-inventory-reimbursement-2025/</t>
  </si>
  <si>
    <t xml:space="preserve">5.16</t>
  </si>
  <si>
    <t xml:space="preserve">Amazon JP pricing 在庫保管手数料 — https://sell.amazon.co.jp/pricing</t>
  </si>
  <si>
    <t xml:space="preserve">published tax-incl 5.676 -&gt; net /1.10</t>
  </si>
  <si>
    <t xml:space="preserve">9.169999999999998</t>
  </si>
  <si>
    <t xml:space="preserve">published tax-incl 10.087 -&gt; net /1.10</t>
  </si>
  <si>
    <t xml:space="preserve">4900</t>
  </si>
  <si>
    <t xml:space="preserve">Amazon JP pricing 大口出品 — https://sell.amazon.co.jp/pricing</t>
  </si>
  <si>
    <t xml:space="preserve">1.0</t>
  </si>
  <si>
    <t xml:space="preserve">NTA invoice system transitional credits — https://www.nta.go.jp/taxes/shiraberu/zeimokubetsu/shohi/keigenzeiritsu/invoice.htm</t>
  </si>
  <si>
    <t xml:space="preserve">Ad % relief (optimistic)</t>
  </si>
  <si>
    <t xml:space="preserve">-0.03</t>
  </si>
  <si>
    <t xml:space="preserve">scenario stress (-3pp per phase)</t>
  </si>
  <si>
    <t xml:space="preserve">Ad % stress (pessimistic)</t>
  </si>
  <si>
    <t xml:space="preserve">0.05</t>
  </si>
  <si>
    <t xml:space="preserve">scenario stress (+5pp per phase)</t>
  </si>
  <si>
    <t xml:space="preserve">0.15</t>
  </si>
  <si>
    <t xml:space="preserve">markenote.jp JP CPC ¥50-300 — https://markenote.jp/amazon-ads-cpc/; JP agency ACoS consensus 20-30% steady, 40-60% launch</t>
  </si>
  <si>
    <t xml:space="preserve">0.12</t>
  </si>
  <si>
    <t xml:space="preserve">Share boost (optimistic)</t>
  </si>
  <si>
    <t xml:space="preserve">1.3</t>
  </si>
  <si>
    <t xml:space="preserve">scenario stress</t>
  </si>
  <si>
    <t xml:space="preserve">Share stress (pessimistic)</t>
  </si>
  <si>
    <t xml:space="preserve">0.7</t>
  </si>
  <si>
    <t xml:space="preserve">1575.0</t>
  </si>
  <si>
    <r>
      <rPr>
        <i val="true"/>
        <sz val="9"/>
        <color rgb="FF636E72"/>
        <rFont val="Segoe UI"/>
        <family val="0"/>
        <charset val="1"/>
      </rPr>
      <t xml:space="preserve">cogs-benchmark </t>
    </r>
    <r>
      <rPr>
        <i val="true"/>
        <sz val="9"/>
        <color rgb="FF636E72"/>
        <rFont val="Arial Unicode MS"/>
        <family val="2"/>
      </rPr>
      <t xml:space="preserve">掛け率 </t>
    </r>
    <r>
      <rPr>
        <i val="true"/>
        <sz val="9"/>
        <color rgb="FF636E72"/>
        <rFont val="Segoe UI"/>
        <family val="0"/>
        <charset val="1"/>
      </rPr>
      <t xml:space="preserve">0.45 x base ASP (cosmetics) — replace with a supplier/OEM quote before decisions</t>
    </r>
  </si>
  <si>
    <t xml:space="preserve">0.648</t>
  </si>
  <si>
    <t xml:space="preserve">18000</t>
  </si>
  <si>
    <t xml:space="preserve">Glossary</t>
  </si>
  <si>
    <t xml:space="preserve">What every line means. Scenarios are one-sided stress bundles, not jointly-coherent worlds — judge decisions on the base scenario plus Sensitivity. Where the unit cost is the wholesale benchmark (flag cogs-benchmark), treat the model as a screening placeholder: standard wholesale pricing rarely clears GM&gt;=40% after Amazon fees; OEM manufacturing quotes are the realistic path for finalists.</t>
  </si>
  <si>
    <t xml:space="preserve">Line</t>
  </si>
  <si>
    <t xml:space="preserve">Name</t>
  </si>
  <si>
    <t xml:space="preserve">Definition</t>
  </si>
  <si>
    <t xml:space="preserve">R1</t>
  </si>
  <si>
    <t xml:space="preserve">Niche demand x market share x launch ramp x seasonality (continuous units).</t>
  </si>
  <si>
    <t xml:space="preserve">R2</t>
  </si>
  <si>
    <t xml:space="preserve">Average selling price on Amazon.co.jp, tax included (scenario-active).</t>
  </si>
  <si>
    <t xml:space="preserve">R3</t>
  </si>
  <si>
    <t xml:space="preserve">Units x ASP, tax-inclusive as displayed on the marketplace.</t>
  </si>
  <si>
    <t xml:space="preserve">R4</t>
  </si>
  <si>
    <t xml:space="preserve">Consumption tax carved out of tax-inclusive sales (rate/(1+rate)); computed on undiscounted gross and not reversed on returns - conservative.</t>
  </si>
  <si>
    <t xml:space="preserve">R5</t>
  </si>
  <si>
    <t xml:space="preserve">Default 1% seller-funded points on JP listings (contra-revenue).</t>
  </si>
  <si>
    <t xml:space="preserve">R6</t>
  </si>
  <si>
    <t xml:space="preserve">Launch-heavy promo schedule; coupon/deal fee mechanics folded into the rate.</t>
  </si>
  <si>
    <t xml:space="preserve">R7</t>
  </si>
  <si>
    <t xml:space="preserve">Customer returns at the JP category benchmark rate (revenue reversal).</t>
  </si>
  <si>
    <t xml:space="preserve">R8</t>
  </si>
  <si>
    <t xml:space="preserve">Gross sales less output JCT, points, promotions, and returns.</t>
  </si>
  <si>
    <t xml:space="preserve">C1</t>
  </si>
  <si>
    <t xml:space="preserve">Domestic purchase or OEM cost per unit, ex-JCT; non-creditable input-JCT share added when the supplier is not a qualified-invoice issuer.</t>
  </si>
  <si>
    <t xml:space="preserve">C2</t>
  </si>
  <si>
    <t xml:space="preserve">Supplier -&gt; prep -&gt; fulfillment center, per unit.</t>
  </si>
  <si>
    <t xml:space="preserve">C3</t>
  </si>
  <si>
    <t xml:space="preserve">Acceptance testing per unit (0 unless OEM QC is contracted).</t>
  </si>
  <si>
    <t xml:space="preserve">C4</t>
  </si>
  <si>
    <t xml:space="preserve">Non-return losses (1% of goods cost) plus full write-off of returned units.</t>
  </si>
  <si>
    <t xml:space="preserve">C5</t>
  </si>
  <si>
    <t xml:space="preserve">Net revenue less all cost of goods.</t>
  </si>
  <si>
    <t xml:space="preserve">F1</t>
  </si>
  <si>
    <t xml:space="preserve">Category referral rate on the tax-inclusive price, min 30 JPY/item.</t>
  </si>
  <si>
    <t xml:space="preserve">F2</t>
  </si>
  <si>
    <t xml:space="preserve">Per-unit fulfillment fee by size tier (ex-JCT).</t>
  </si>
  <si>
    <t xml:space="preserve">F3</t>
  </si>
  <si>
    <t xml:space="preserve">Monthly storage on average on-hand stock; Oct-Dec seasonal rates.</t>
  </si>
  <si>
    <t xml:space="preserve">F4</t>
  </si>
  <si>
    <t xml:space="preserve">Aged-inventory surcharge from FIFO age of the order schedule; fixed at build - rebuild after assumption changes.</t>
  </si>
  <si>
    <t xml:space="preserve">F5</t>
  </si>
  <si>
    <t xml:space="preserve">Amazon refunds the referral fee minus the refund-admin fee (lesser of 20% or 500 JPY) on returned units.</t>
  </si>
  <si>
    <t xml:space="preserve">F6</t>
  </si>
  <si>
    <t xml:space="preserve">Gross profit less all Amazon fees.</t>
  </si>
  <si>
    <t xml:space="preserve">M1</t>
  </si>
  <si>
    <t xml:space="preserve">TACoS curve on tax-inclusive gross sales: Y1 ramp-down, then steady Y2/Y3.</t>
  </si>
  <si>
    <t xml:space="preserve">M2</t>
  </si>
  <si>
    <t xml:space="preserve">Photography, A+ content, video - monthly retainer.</t>
  </si>
  <si>
    <t xml:space="preserve">M3</t>
  </si>
  <si>
    <t xml:space="preserve">Bloggers, social seeding, affiliate fees (0 unless planned).</t>
  </si>
  <si>
    <t xml:space="preserve">O1</t>
  </si>
  <si>
    <t xml:space="preserve">Professional selling plan, shared across live products.</t>
  </si>
  <si>
    <t xml:space="preserve">O2</t>
  </si>
  <si>
    <t xml:space="preserve">Product-liability insurance.</t>
  </si>
  <si>
    <t xml:space="preserve">G1</t>
  </si>
  <si>
    <t xml:space="preserve">Covers management, accounting, software and all other administrative overhead. Dynamic: a fixed part plus a flex part (% of sales) - 'hybrid' mode; yearly escalation on the fixed part. Replaces personnel cost lines by design.</t>
  </si>
  <si>
    <t xml:space="preserve">E1</t>
  </si>
  <si>
    <t xml:space="preserve">Contribution margin less marketing, OPEX, and management fee.</t>
  </si>
  <si>
    <t xml:space="preserve">E2</t>
  </si>
  <si>
    <t xml:space="preserve">EBITDA / net revenue (0 when net revenue is 0).</t>
  </si>
  <si>
    <t xml:space="preserve">K1</t>
  </si>
  <si>
    <t xml:space="preserve">Return on ad spend: tax-inclusive gross sales (R3) / PPC spend (M1). Roughly the inverse of TACoS; drops in launch months when the fixed ad-budget floor applies. Zero when there is no ad spend. Annual = year sales / year spend.</t>
  </si>
  <si>
    <t xml:space="preserve">K2</t>
  </si>
  <si>
    <t xml:space="preserve">Annualized inventory turnover: how many times a year the average on-hand stock is sold. 24 x units sold / (opening + closing stock) — the same shape monthly, yearly, and over the horizon; higher means leaner inventory.</t>
  </si>
  <si>
    <t xml:space="preserve">K3</t>
  </si>
  <si>
    <t xml:space="preserve">Customer return rate: returned units / units sold (|Returns| / Gross sales). Equals the return-rate assumption; surfaced here as an output metric.</t>
  </si>
  <si>
    <t xml:space="preserve">IV1</t>
  </si>
  <si>
    <t xml:space="preserve">Units in stock at month start (prior close; first order arrives by M1).</t>
  </si>
  <si>
    <t xml:space="preserve">IV2</t>
  </si>
  <si>
    <t xml:space="preserve">Units ordered this month (cover rule, MOQ floor, stops near horizon).</t>
  </si>
  <si>
    <t xml:space="preserve">IV3</t>
  </si>
  <si>
    <t xml:space="preserve">Units arriving this month (orders placed lead-months earlier).</t>
  </si>
  <si>
    <t xml:space="preserve">IV4</t>
  </si>
  <si>
    <t xml:space="preserve">Opening + receipts - units sold.</t>
  </si>
  <si>
    <t xml:space="preserve">CF1</t>
  </si>
  <si>
    <t xml:space="preserve">Prepay split (default 50% at order / 50% at delivery) x order value.</t>
  </si>
  <si>
    <t xml:space="preserve">CF2</t>
  </si>
  <si>
    <t xml:space="preserve">Per receipt month.</t>
  </si>
  <si>
    <t xml:space="preserve">CF3</t>
  </si>
  <si>
    <t xml:space="preserve">JCT paid to suppliers on goods and logistics; credited back at settlement.</t>
  </si>
  <si>
    <t xml:space="preserve">CF4</t>
  </si>
  <si>
    <t xml:space="preserve">Samples, content, trademark, Vine, certification, contingency - at PRE-k.</t>
  </si>
  <si>
    <t xml:space="preserve">CF5</t>
  </si>
  <si>
    <t xml:space="preserve">Marketing + OPEX + management fee of the month (accrual = cash).</t>
  </si>
  <si>
    <t xml:space="preserve">CF6</t>
  </si>
  <si>
    <t xml:space="preserve">Tax-inclusive receipts net of refunds, points, promos, and tax-inclusive Amazon fees - lagged one settlement month.</t>
  </si>
  <si>
    <t xml:space="preserve">CF7</t>
  </si>
  <si>
    <t xml:space="preserve">Output JCT less input credits, remitted after each filing window.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</si>
</sst>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[RED]\-#,##0"/>
    <numFmt numFmtId="166" formatCode="0.0%"/>
    <numFmt numFmtId="167" formatCode="0"/>
    <numFmt numFmtId="168" formatCode="\$#,##0"/>
    <numFmt numFmtId="169" formatCode="#,##0"/>
    <numFmt numFmtId="170" formatCode="0.0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636E72"/>
      <name val="Segoe UI"/>
      <family val="0"/>
      <charset val="1"/>
    </font>
    <font>
      <b val="true"/>
      <sz val="24"/>
      <color rgb="FF2D3436"/>
      <name val="Bebas Neue"/>
      <family val="0"/>
      <charset val="1"/>
    </font>
    <font>
      <b val="true"/>
      <sz val="12"/>
      <color rgb="FFC0512D"/>
      <name val="Segoe UI"/>
      <family val="0"/>
      <charset val="1"/>
    </font>
    <font>
      <sz val="10"/>
      <color rgb="FF4527A0"/>
      <name val="Segoe UI"/>
      <family val="0"/>
      <charset val="1"/>
    </font>
    <font>
      <i val="true"/>
      <sz val="9"/>
      <color rgb="FF636E72"/>
      <name val="Arial Unicode MS"/>
      <family val="2"/>
    </font>
    <font>
      <i val="true"/>
      <sz val="10"/>
      <color rgb="FF636E72"/>
      <name val="Segoe UI"/>
      <family val="0"/>
      <charset val="1"/>
    </font>
    <font>
      <i val="true"/>
      <sz val="9"/>
      <color rgb="FFC0392B"/>
      <name val="Segoe UI"/>
      <family val="0"/>
      <charset val="1"/>
    </font>
    <font>
      <b val="true"/>
      <sz val="16"/>
      <color rgb="FFFFFFFF"/>
      <name val="Bebas Neue"/>
      <family val="0"/>
      <charset val="1"/>
    </font>
    <font>
      <sz val="9"/>
      <color rgb="FF636E72"/>
      <name val="Segoe UI"/>
      <family val="0"/>
      <charset val="1"/>
    </font>
    <font>
      <b val="true"/>
      <sz val="16"/>
      <color rgb="FF2D3436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color rgb="FF2D3436"/>
      <name val="Segoe UI"/>
      <family val="0"/>
      <charset val="1"/>
    </font>
    <font>
      <b val="true"/>
      <sz val="10"/>
      <color rgb="FF2D3436"/>
      <name val="Segoe UI"/>
      <family val="0"/>
      <charset val="1"/>
    </font>
    <font>
      <b val="true"/>
      <sz val="22"/>
      <color rgb="FFFFFFFF"/>
      <name val="Bebas Neue"/>
      <family val="0"/>
      <charset val="1"/>
    </font>
    <font>
      <u val="single"/>
      <sz val="9"/>
      <color rgb="FFC0512D"/>
      <name val="Segoe UI"/>
      <family val="0"/>
      <charset val="1"/>
    </font>
    <font>
      <b val="true"/>
      <sz val="16"/>
      <color rgb="FFFFFFFF"/>
      <name val="Arial Unicode MS"/>
      <family val="2"/>
    </font>
    <font>
      <sz val="10"/>
      <color rgb="FF2D3436"/>
      <name val="Arial Unicode MS"/>
      <family val="2"/>
    </font>
    <font>
      <b val="true"/>
      <sz val="10"/>
      <color rgb="FFFFFFFF"/>
      <name val="Arial Unicode MS"/>
      <family val="2"/>
    </font>
    <font>
      <b val="true"/>
      <sz val="11"/>
      <color rgb="FF2D3436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AF8F6"/>
      </patternFill>
    </fill>
    <fill>
      <patternFill patternType="solid">
        <fgColor rgb="FFEDE7F6"/>
        <bgColor rgb="FFF5F1EE"/>
      </patternFill>
    </fill>
    <fill>
      <patternFill patternType="solid">
        <fgColor rgb="FF2D3436"/>
        <bgColor rgb="FF333300"/>
      </patternFill>
    </fill>
    <fill>
      <patternFill patternType="solid">
        <fgColor rgb="FFF5F1EE"/>
        <bgColor rgb="FFFAF8F6"/>
      </patternFill>
    </fill>
    <fill>
      <patternFill patternType="solid">
        <fgColor rgb="FFFAF8F6"/>
        <bgColor rgb="FFF5F1E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/>
      <top/>
      <bottom style="medium">
        <color rgb="FFC0512D"/>
      </bottom>
      <diagonal/>
    </border>
    <border diagonalUp="false" diagonalDown="false">
      <left style="thin">
        <color rgb="FF2D3436"/>
      </left>
      <right style="thin">
        <color rgb="FF2D3436"/>
      </right>
      <top style="thin">
        <color rgb="FF2D3436"/>
      </top>
      <bottom style="thin">
        <color rgb="FF2D3436"/>
      </bottom>
      <diagonal/>
    </border>
    <border diagonalUp="false" diagonalDown="false">
      <left style="thin">
        <color rgb="FFF5F1EE"/>
      </left>
      <right style="thin">
        <color rgb="FFF5F1EE"/>
      </right>
      <top style="thin">
        <color rgb="FFF5F1EE"/>
      </top>
      <bottom style="thin">
        <color rgb="FFF5F1EE"/>
      </bottom>
      <diagonal/>
    </border>
    <border diagonalUp="false" diagonalDown="false">
      <left style="thin">
        <color rgb="FFF5F1EE"/>
      </left>
      <right style="thin">
        <color rgb="FFF5F1EE"/>
      </right>
      <top style="double">
        <color rgb="FF2D3436"/>
      </top>
      <bottom style="thin">
        <color rgb="FFF5F1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2E7D32"/>
        </patternFill>
      </fill>
    </dxf>
    <dxf>
      <fill>
        <patternFill>
          <bgColor rgb="FFC0512D"/>
        </patternFill>
      </fill>
    </dxf>
    <dxf>
      <font>
        <name val="Segoe UI"/>
        <charset val="1"/>
        <family val="0"/>
        <b val="1"/>
        <color rgb="FF1B5E20"/>
        <sz val="11"/>
      </font>
      <fill>
        <patternFill>
          <bgColor rgb="FFC6EFCE"/>
        </patternFill>
      </fill>
    </dxf>
    <dxf>
      <font>
        <name val="Segoe UI"/>
        <charset val="1"/>
        <family val="0"/>
        <b val="1"/>
        <color rgb="FFC0392B"/>
        <sz val="11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C0512D"/>
      <rgbColor rgb="FFFAF8F6"/>
      <rgbColor rgb="FFF5F1EE"/>
      <rgbColor rgb="FF660066"/>
      <rgbColor rgb="FFD4A27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C6EFCE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36E72"/>
      <rgbColor rgb="FF969696"/>
      <rgbColor rgb="FF003366"/>
      <rgbColor rgb="FF2E7D32"/>
      <rgbColor rgb="FF003300"/>
      <rgbColor rgb="FF333300"/>
      <rgbColor rgb="FFC0392B"/>
      <rgbColor rgb="FF993366"/>
      <rgbColor rgb="FF4527A0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ellercentral-japan.amazon.com/seller-forums/discussions/t/2e1c53d59f32e3b92493020bbeb1cb91" TargetMode="External"/><Relationship Id="rId2" Type="http://schemas.openxmlformats.org/officeDocument/2006/relationships/hyperlink" Target="https://www.axalpha.com/blog/&#26032;&#12463;&#12540;&#12509;&#12531;&#26009;&#37329;&#20307;&#31995;/" TargetMode="External"/><Relationship Id="rId3" Type="http://schemas.openxmlformats.org/officeDocument/2006/relationships/hyperlink" Target="https://www.axalpha.com/blog/&#26032;&#12463;&#12540;&#12509;&#12531;&#26009;&#37329;&#20307;&#31995;/" TargetMode="External"/><Relationship Id="rId4" Type="http://schemas.openxmlformats.org/officeDocument/2006/relationships/hyperlink" Target="https://ecnomikata.com/ecnews/35771/" TargetMode="External"/><Relationship Id="rId5" Type="http://schemas.openxmlformats.org/officeDocument/2006/relationships/hyperlink" Target="https://wac-works-ec.jp/amazon/fba-partner-career/" TargetMode="External"/><Relationship Id="rId6" Type="http://schemas.openxmlformats.org/officeDocument/2006/relationships/hyperlink" Target="https://www.valueaddedresource.net/amazon-fba-inventory-reimbursement-2025/" TargetMode="External"/><Relationship Id="rId7" Type="http://schemas.openxmlformats.org/officeDocument/2006/relationships/hyperlink" Target="https://www.nta.go.jp/taxes/shiraberu/zeimokubetsu/shohi/keigenzeiritsu/invoice.htm" TargetMode="External"/><Relationship Id="rId8" Type="http://schemas.openxmlformats.org/officeDocument/2006/relationships/hyperlink" Target="https://sell.amazon.co.jp/pricing" TargetMode="External"/><Relationship Id="rId9" Type="http://schemas.openxmlformats.org/officeDocument/2006/relationships/hyperlink" Target="https://sell.amazon.co.jp/pricing" TargetMode="External"/><Relationship Id="rId10" Type="http://schemas.openxmlformats.org/officeDocument/2006/relationships/hyperlink" Target="https://sellercentral.amazon.com/gp/help/external/DC3U6FWF4JJJJC7" TargetMode="External"/><Relationship Id="rId11" Type="http://schemas.openxmlformats.org/officeDocument/2006/relationships/hyperlink" Target="https://markenote.jp/amazon-ads-cpc/" TargetMode="External"/><Relationship Id="rId12" Type="http://schemas.openxmlformats.org/officeDocument/2006/relationships/hyperlink" Target="https://sell.amazon.co.jp/pricing" TargetMode="External"/><Relationship Id="rId13" Type="http://schemas.openxmlformats.org/officeDocument/2006/relationships/hyperlink" Target="https://affinity.marsh.com/amazonsellers/insights/amazon-sellers-insurance-requirements.html" TargetMode="External"/><Relationship Id="rId14" Type="http://schemas.openxmlformats.org/officeDocument/2006/relationships/hyperlink" Target="https://www.zeiri4.com/c_1076/" TargetMode="External"/><Relationship Id="rId15" Type="http://schemas.openxmlformats.org/officeDocument/2006/relationships/hyperlink" Target="https://cotobox.com/primer/registration-fee/" TargetMode="External"/><Relationship Id="rId16" Type="http://schemas.openxmlformats.org/officeDocument/2006/relationships/hyperlink" Target="https://www.hideandseek.co.jp/archives/7954" TargetMode="External"/><Relationship Id="rId17" Type="http://schemas.openxmlformats.org/officeDocument/2006/relationships/hyperlink" Target="https://sellercentral.amazon.co.jp/help/hub/reference/external/G201051980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cotobox.com/primer/registration-fee/" TargetMode="External"/><Relationship Id="rId2" Type="http://schemas.openxmlformats.org/officeDocument/2006/relationships/hyperlink" Target="https://www.hideandseek.co.jp/archives/7954" TargetMode="External"/><Relationship Id="rId3" Type="http://schemas.openxmlformats.org/officeDocument/2006/relationships/hyperlink" Target="https://ecnomikata.com/ecnews/35771/" TargetMode="External"/><Relationship Id="rId4" Type="http://schemas.openxmlformats.org/officeDocument/2006/relationships/hyperlink" Target="https://affinity.marsh.com/amazonsellers/insights/amazon-sellers-insurance-requirements.html" TargetMode="External"/><Relationship Id="rId5" Type="http://schemas.openxmlformats.org/officeDocument/2006/relationships/hyperlink" Target="https://wac-works-ec.jp/amazon/fba-partner-career/" TargetMode="External"/><Relationship Id="rId6" Type="http://schemas.openxmlformats.org/officeDocument/2006/relationships/hyperlink" Target="https://sellercentral.amazon.co.jp/help/hub/reference/external/GBJ9XBVWSBKZWD76" TargetMode="External"/><Relationship Id="rId7" Type="http://schemas.openxmlformats.org/officeDocument/2006/relationships/hyperlink" Target="https://www.zeiri4.com/c_1076/" TargetMode="External"/><Relationship Id="rId8" Type="http://schemas.openxmlformats.org/officeDocument/2006/relationships/hyperlink" Target="https://sellercentral-japan.amazon.com/seller-forums/discussions/t/2e1c53d59f32e3b92493020bbeb1cb91" TargetMode="External"/><Relationship Id="rId9" Type="http://schemas.openxmlformats.org/officeDocument/2006/relationships/hyperlink" Target="https://www.axalpha.com/blog/&#26032;&#12463;&#12540;&#12509;&#12531;&#26009;&#37329;&#20307;&#31995;/" TargetMode="External"/><Relationship Id="rId10" Type="http://schemas.openxmlformats.org/officeDocument/2006/relationships/hyperlink" Target="https://www.axalpha.com/blog/&#26032;&#12463;&#12540;&#12509;&#12531;&#26009;&#37329;&#20307;&#31995;/" TargetMode="External"/><Relationship Id="rId11" Type="http://schemas.openxmlformats.org/officeDocument/2006/relationships/hyperlink" Target="https://www.nta.go.jp/taxes/shiraberu/zeimokubetsu/shohi/keigenzeiritsu/index.htm" TargetMode="External"/><Relationship Id="rId12" Type="http://schemas.openxmlformats.org/officeDocument/2006/relationships/hyperlink" Target="https://sellercentral.amazon.com/gp/help/external/DC3U6FWF4JJJJC7" TargetMode="External"/><Relationship Id="rId13" Type="http://schemas.openxmlformats.org/officeDocument/2006/relationships/hyperlink" Target="https://www.trade.gov/country-commercial-guides/japan-ecommerce" TargetMode="External"/><Relationship Id="rId14" Type="http://schemas.openxmlformats.org/officeDocument/2006/relationships/hyperlink" Target="https://sellercentral.amazon.co.jp/help/hub/reference/external/G201051980" TargetMode="External"/><Relationship Id="rId15" Type="http://schemas.openxmlformats.org/officeDocument/2006/relationships/hyperlink" Target="https://www.valueaddedresource.net/amazon-fba-inventory-reimbursement-2025/" TargetMode="External"/><Relationship Id="rId16" Type="http://schemas.openxmlformats.org/officeDocument/2006/relationships/hyperlink" Target="https://sell.amazon.co.jp/pricing" TargetMode="External"/><Relationship Id="rId17" Type="http://schemas.openxmlformats.org/officeDocument/2006/relationships/hyperlink" Target="https://sell.amazon.co.jp/pricing" TargetMode="External"/><Relationship Id="rId18" Type="http://schemas.openxmlformats.org/officeDocument/2006/relationships/hyperlink" Target="https://sell.amazon.co.jp/pricing" TargetMode="External"/><Relationship Id="rId19" Type="http://schemas.openxmlformats.org/officeDocument/2006/relationships/hyperlink" Target="https://www.nta.go.jp/taxes/shiraberu/zeimokubetsu/shohi/keigenzeiritsu/invoice.htm" TargetMode="External"/><Relationship Id="rId20" Type="http://schemas.openxmlformats.org/officeDocument/2006/relationships/hyperlink" Target="https://markenote.jp/amazon-ads-cpc/" TargetMode="External"/><Relationship Id="rId21" Type="http://schemas.openxmlformats.org/officeDocument/2006/relationships/hyperlink" Target="https://ecnomikata.com/ecnews/35771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3436"/>
    <pageSetUpPr fitToPage="false"/>
  </sheetPr>
  <dimension ref="A1:Q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4"/>
    <col collapsed="false" customWidth="true" hidden="false" outlineLevel="0" max="9" min="8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30" hidden="false" customHeight="true" outlineLevel="0" collapsed="false">
      <c r="A4" s="1"/>
      <c r="B4" s="3" t="s">
        <v>1</v>
      </c>
      <c r="C4" s="1"/>
      <c r="D4" s="1"/>
      <c r="E4" s="1"/>
      <c r="F4" s="1"/>
      <c r="G4" s="4" t="s">
        <v>2</v>
      </c>
      <c r="H4" s="5" t="s">
        <v>3</v>
      </c>
      <c r="I4" s="1"/>
      <c r="J4" s="1"/>
      <c r="K4" s="1"/>
      <c r="L4" s="1"/>
      <c r="M4" s="1"/>
      <c r="N4" s="1"/>
      <c r="O4" s="1"/>
      <c r="P4" s="1"/>
      <c r="Q4" s="1"/>
    </row>
    <row r="5" customFormat="false" ht="15" hidden="false" customHeight="false" outlineLevel="0" collapsed="false">
      <c r="A5" s="1"/>
      <c r="B5" s="6" t="s">
        <v>4</v>
      </c>
      <c r="C5" s="7"/>
      <c r="D5" s="7"/>
      <c r="E5" s="7"/>
      <c r="F5" s="7"/>
      <c r="G5" s="7"/>
      <c r="H5" s="8" t="n">
        <f aca="false">IF(a_currency="USD",a_fx_jpy_per_usd,1)</f>
        <v>1</v>
      </c>
      <c r="I5" s="7"/>
      <c r="J5" s="1"/>
      <c r="K5" s="1"/>
      <c r="L5" s="1"/>
      <c r="M5" s="1"/>
      <c r="N5" s="1"/>
      <c r="O5" s="1"/>
      <c r="P5" s="1"/>
      <c r="Q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customFormat="false" ht="15" hidden="false" customHeight="false" outlineLevel="0" collapsed="false">
      <c r="A7" s="1"/>
      <c r="B7" s="9" t="s">
        <v>5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customFormat="false" ht="24" hidden="false" customHeight="true" outlineLevel="0" collapsed="false">
      <c r="A9" s="1"/>
      <c r="B9" s="10" t="s">
        <v>6</v>
      </c>
      <c r="C9" s="10"/>
      <c r="D9" s="10"/>
      <c r="E9" s="10"/>
      <c r="F9" s="10"/>
      <c r="G9" s="10"/>
      <c r="H9" s="10"/>
      <c r="I9" s="10"/>
      <c r="J9" s="1"/>
      <c r="K9" s="1"/>
      <c r="L9" s="1"/>
      <c r="M9" s="1"/>
      <c r="N9" s="1"/>
      <c r="O9" s="1"/>
      <c r="P9" s="1"/>
      <c r="Q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customFormat="false" ht="15" hidden="false" customHeight="false" outlineLevel="0" collapsed="false">
      <c r="A11" s="1"/>
      <c r="B11" s="11" t="s">
        <v>7</v>
      </c>
      <c r="C11" s="12"/>
      <c r="D11" s="11" t="s">
        <v>8</v>
      </c>
      <c r="E11" s="12"/>
      <c r="F11" s="11" t="s">
        <v>9</v>
      </c>
      <c r="G11" s="12"/>
      <c r="H11" s="11" t="s">
        <v>10</v>
      </c>
      <c r="I11" s="12"/>
      <c r="J11" s="1"/>
      <c r="K11" s="1"/>
      <c r="L11" s="1"/>
      <c r="M11" s="1"/>
      <c r="N11" s="1"/>
      <c r="O11" s="1"/>
      <c r="P11" s="1"/>
      <c r="Q11" s="1"/>
    </row>
    <row r="12" customFormat="false" ht="19.7" hidden="false" customHeight="false" outlineLevel="0" collapsed="false">
      <c r="A12" s="1"/>
      <c r="B12" s="13" t="n">
        <f aca="false">'Investment and Cash'!C31</f>
        <v>-3015200.21537217</v>
      </c>
      <c r="C12" s="12"/>
      <c r="D12" s="14" t="n">
        <f aca="false">IF(SUM('PL Monthly'!AA17:AL17)=0,0,SUM('PL Monthly'!AA35:AL35)/SUM('PL Monthly'!AA17:AL17))</f>
        <v>-0.20525088267378</v>
      </c>
      <c r="E12" s="12"/>
      <c r="F12" s="15" t="str">
        <f aca="false">'Investment and Cash'!C29</f>
        <v>n/a</v>
      </c>
      <c r="G12" s="12"/>
      <c r="H12" s="13" t="n">
        <f aca="false">'Investment and Cash'!C27</f>
        <v>3888349.22700065</v>
      </c>
      <c r="I12" s="12"/>
      <c r="J12" s="1"/>
      <c r="K12" s="1"/>
      <c r="L12" s="1"/>
      <c r="M12" s="1"/>
      <c r="N12" s="1"/>
      <c r="O12" s="1"/>
      <c r="P12" s="1"/>
      <c r="Q12" s="1"/>
    </row>
    <row r="13" customFormat="false" ht="15" hidden="false" customHeight="false" outlineLevel="0" collapsed="false">
      <c r="A13" s="1"/>
      <c r="B13" s="12"/>
      <c r="C13" s="12"/>
      <c r="D13" s="12"/>
      <c r="E13" s="12"/>
      <c r="F13" s="12"/>
      <c r="G13" s="12"/>
      <c r="H13" s="12"/>
      <c r="I13" s="12"/>
      <c r="J13" s="1"/>
      <c r="K13" s="1"/>
      <c r="L13" s="1"/>
      <c r="M13" s="1"/>
      <c r="N13" s="1"/>
      <c r="O13" s="1"/>
      <c r="P13" s="1"/>
      <c r="Q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Format="false" ht="15" hidden="false" customHeight="false" outlineLevel="0" collapsed="false">
      <c r="A15" s="1"/>
      <c r="B15" s="11" t="s">
        <v>11</v>
      </c>
      <c r="C15" s="12"/>
      <c r="D15" s="11" t="s">
        <v>12</v>
      </c>
      <c r="E15" s="12"/>
      <c r="F15" s="11" t="s">
        <v>13</v>
      </c>
      <c r="G15" s="12"/>
      <c r="H15" s="11" t="s">
        <v>14</v>
      </c>
      <c r="I15" s="12"/>
      <c r="J15" s="1"/>
      <c r="K15" s="1"/>
      <c r="L15" s="1"/>
      <c r="M15" s="1"/>
      <c r="N15" s="1"/>
      <c r="O15" s="1"/>
      <c r="P15" s="1"/>
      <c r="Q15" s="1"/>
    </row>
    <row r="16" customFormat="false" ht="19.7" hidden="false" customHeight="false" outlineLevel="0" collapsed="false">
      <c r="A16" s="1"/>
      <c r="B16" s="16" t="n">
        <f aca="false">'Investment and Cash'!C28</f>
        <v>25922.3281800043</v>
      </c>
      <c r="C16" s="12"/>
      <c r="D16" s="13" t="n">
        <f aca="false">SUM('PL Monthly'!C17:N17)</f>
        <v>1793590.90909091</v>
      </c>
      <c r="E16" s="12"/>
      <c r="F16" s="14" t="n">
        <f aca="false">'Investment and Cash'!C33</f>
        <v>0.777428571428572</v>
      </c>
      <c r="G16" s="12"/>
      <c r="H16" s="14" t="n">
        <f aca="false">'Investment and Cash'!C34</f>
        <v>0.147868719741686</v>
      </c>
      <c r="I16" s="12"/>
      <c r="J16" s="1"/>
      <c r="K16" s="1"/>
      <c r="L16" s="1"/>
      <c r="M16" s="1"/>
      <c r="N16" s="1"/>
      <c r="O16" s="1"/>
      <c r="P16" s="1"/>
      <c r="Q16" s="1"/>
    </row>
    <row r="17" customFormat="false" ht="15" hidden="false" customHeight="false" outlineLevel="0" collapsed="false">
      <c r="A17" s="1"/>
      <c r="B17" s="12"/>
      <c r="C17" s="12"/>
      <c r="D17" s="12"/>
      <c r="E17" s="12"/>
      <c r="F17" s="12"/>
      <c r="G17" s="12"/>
      <c r="H17" s="12"/>
      <c r="I17" s="12"/>
      <c r="J17" s="1"/>
      <c r="K17" s="1"/>
      <c r="L17" s="1"/>
      <c r="M17" s="1"/>
      <c r="N17" s="1"/>
      <c r="O17" s="1"/>
      <c r="P17" s="1"/>
      <c r="Q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Format="false" ht="24" hidden="false" customHeight="true" outlineLevel="0" collapsed="false">
      <c r="A20" s="1"/>
      <c r="B20" s="10" t="s">
        <v>15</v>
      </c>
      <c r="C20" s="10"/>
      <c r="D20" s="10"/>
      <c r="E20" s="10"/>
      <c r="F20" s="10"/>
      <c r="G20" s="10"/>
      <c r="H20" s="10"/>
      <c r="I20" s="10"/>
      <c r="J20" s="1"/>
      <c r="K20" s="1"/>
      <c r="L20" s="1"/>
      <c r="M20" s="1"/>
      <c r="N20" s="1"/>
      <c r="O20" s="1"/>
      <c r="P20" s="1"/>
      <c r="Q20" s="1"/>
    </row>
    <row r="21" customFormat="false" ht="15" hidden="false" customHeight="false" outlineLevel="0" collapsed="false">
      <c r="A21" s="1"/>
      <c r="B21" s="17" t="s">
        <v>16</v>
      </c>
      <c r="C21" s="18" t="s">
        <v>17</v>
      </c>
      <c r="D21" s="18" t="s">
        <v>18</v>
      </c>
      <c r="E21" s="18" t="s">
        <v>19</v>
      </c>
      <c r="F21" s="18" t="s">
        <v>20</v>
      </c>
      <c r="G21" s="18" t="s">
        <v>21</v>
      </c>
      <c r="H21" s="18" t="s">
        <v>22</v>
      </c>
      <c r="I21" s="18" t="s">
        <v>23</v>
      </c>
      <c r="J21" s="1"/>
      <c r="K21" s="1"/>
      <c r="L21" s="1"/>
      <c r="M21" s="1"/>
      <c r="N21" s="1"/>
      <c r="O21" s="1"/>
      <c r="P21" s="1"/>
      <c r="Q21" s="1"/>
    </row>
    <row r="22" customFormat="false" ht="15" hidden="false" customHeight="false" outlineLevel="0" collapsed="false">
      <c r="A22" s="1"/>
      <c r="B22" s="19" t="s">
        <v>24</v>
      </c>
      <c r="C22" s="20" t="n">
        <f aca="false">-1480208.66589624/a_cur_div</f>
        <v>-1480208.66589624</v>
      </c>
      <c r="D22" s="20" t="n">
        <f aca="false">-4420816.04387649/a_cur_div</f>
        <v>-4420816.04387649</v>
      </c>
      <c r="E22" s="21" t="n">
        <v>-0.664729984960332</v>
      </c>
      <c r="F22" s="22" t="s">
        <v>25</v>
      </c>
      <c r="G22" s="20" t="n">
        <f aca="false">5041311.05964144/a_cur_div</f>
        <v>5041311.05964144</v>
      </c>
      <c r="H22" s="21" t="n">
        <v>0.747785714285714</v>
      </c>
      <c r="I22" s="21" t="n">
        <v>-0.0466879434601477</v>
      </c>
      <c r="J22" s="1"/>
      <c r="K22" s="1"/>
      <c r="L22" s="1"/>
      <c r="M22" s="1"/>
      <c r="N22" s="1"/>
      <c r="O22" s="1"/>
      <c r="P22" s="1"/>
      <c r="Q22" s="1"/>
    </row>
    <row r="23" customFormat="false" ht="15" hidden="false" customHeight="false" outlineLevel="0" collapsed="false">
      <c r="A23" s="1"/>
      <c r="B23" s="19" t="s">
        <v>26</v>
      </c>
      <c r="C23" s="20" t="n">
        <f aca="false">-1249418.39162667/a_cur_div</f>
        <v>-1249418.39162667</v>
      </c>
      <c r="D23" s="20" t="n">
        <f aca="false">-3015200.21537217/a_cur_div</f>
        <v>-3015200.21537217</v>
      </c>
      <c r="E23" s="21" t="n">
        <v>-0.20525088267378</v>
      </c>
      <c r="F23" s="22" t="s">
        <v>25</v>
      </c>
      <c r="G23" s="20" t="n">
        <f aca="false">3888349.22700065/a_cur_div</f>
        <v>3888349.22700065</v>
      </c>
      <c r="H23" s="21" t="n">
        <v>0.777428571428572</v>
      </c>
      <c r="I23" s="21" t="n">
        <v>0.147868719741686</v>
      </c>
      <c r="J23" s="1"/>
      <c r="K23" s="1"/>
      <c r="L23" s="1"/>
      <c r="M23" s="1"/>
      <c r="N23" s="1"/>
      <c r="O23" s="1"/>
      <c r="P23" s="1"/>
      <c r="Q23" s="1"/>
    </row>
    <row r="24" customFormat="false" ht="15" hidden="false" customHeight="false" outlineLevel="0" collapsed="false">
      <c r="A24" s="1"/>
      <c r="B24" s="19" t="s">
        <v>27</v>
      </c>
      <c r="C24" s="20" t="n">
        <f aca="false">-834773.152993455/a_cur_div</f>
        <v>-834773.152993455</v>
      </c>
      <c r="D24" s="20" t="n">
        <f aca="false">-612662.522197003/a_cur_div</f>
        <v>-612662.522197003</v>
      </c>
      <c r="E24" s="21" t="n">
        <v>0.0483127036952682</v>
      </c>
      <c r="F24" s="22" t="s">
        <v>25</v>
      </c>
      <c r="G24" s="20" t="n">
        <f aca="false">2246626.58450954/a_cur_div</f>
        <v>2246626.58450954</v>
      </c>
      <c r="H24" s="21" t="n">
        <v>0.797190476190476</v>
      </c>
      <c r="I24" s="21" t="n">
        <v>0.274239828542908</v>
      </c>
      <c r="J24" s="1"/>
      <c r="K24" s="1"/>
      <c r="L24" s="1"/>
      <c r="M24" s="1"/>
      <c r="N24" s="1"/>
      <c r="O24" s="1"/>
      <c r="P24" s="1"/>
      <c r="Q24" s="1"/>
    </row>
    <row r="25" customFormat="false" ht="15" hidden="false" customHeight="false" outlineLevel="0" collapsed="false">
      <c r="A25" s="1"/>
      <c r="B25" s="2" t="s">
        <v>28</v>
      </c>
      <c r="C25" s="2"/>
      <c r="D25" s="2"/>
      <c r="E25" s="2"/>
      <c r="F25" s="2"/>
      <c r="G25" s="2"/>
      <c r="H25" s="2"/>
      <c r="I25" s="2"/>
      <c r="J25" s="1"/>
      <c r="K25" s="1"/>
      <c r="L25" s="1"/>
      <c r="M25" s="1"/>
      <c r="N25" s="1"/>
      <c r="O25" s="1"/>
      <c r="P25" s="1"/>
      <c r="Q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customFormat="false" ht="24" hidden="false" customHeight="true" outlineLevel="0" collapsed="false">
      <c r="A27" s="1"/>
      <c r="B27" s="10" t="s">
        <v>29</v>
      </c>
      <c r="C27" s="10"/>
      <c r="D27" s="10"/>
      <c r="E27" s="10"/>
      <c r="F27" s="10"/>
      <c r="G27" s="10"/>
      <c r="H27" s="10"/>
      <c r="I27" s="10"/>
      <c r="J27" s="1"/>
      <c r="K27" s="1"/>
      <c r="L27" s="1"/>
      <c r="M27" s="1"/>
      <c r="N27" s="1"/>
      <c r="O27" s="1"/>
      <c r="P27" s="1"/>
      <c r="Q27" s="1"/>
    </row>
    <row r="28" customFormat="false" ht="15" hidden="false" customHeight="false" outlineLevel="0" collapsed="false">
      <c r="A28" s="1"/>
      <c r="B28" s="19" t="s">
        <v>30</v>
      </c>
      <c r="C28" s="1"/>
      <c r="D28" s="23" t="n">
        <f aca="false">a_act_asp_jpy/a_cur_div</f>
        <v>3500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Format="false" ht="15" hidden="false" customHeight="false" outlineLevel="0" collapsed="false">
      <c r="A29" s="1"/>
      <c r="B29" s="19" t="s">
        <v>31</v>
      </c>
      <c r="C29" s="1"/>
      <c r="D29" s="23" t="n">
        <f aca="false">a_unit_cogs_jpy/a_cur_div</f>
        <v>1575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customFormat="false" ht="15" hidden="false" customHeight="false" outlineLevel="0" collapsed="false">
      <c r="A30" s="1"/>
      <c r="B30" s="19" t="s">
        <v>32</v>
      </c>
      <c r="C30" s="1"/>
      <c r="D30" s="24" t="n">
        <f aca="false">a_act_target_share</f>
        <v>0.05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customFormat="false" ht="15" hidden="false" customHeight="false" outlineLevel="0" collapsed="false">
      <c r="A31" s="1"/>
      <c r="B31" s="19" t="s">
        <v>33</v>
      </c>
      <c r="C31" s="1"/>
      <c r="D31" s="24" t="n">
        <f aca="false">a_act_tacos_y1_start</f>
        <v>0.25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customFormat="false" ht="15" hidden="false" customHeight="false" outlineLevel="0" collapsed="false">
      <c r="A32" s="1"/>
      <c r="B32" s="19" t="s">
        <v>34</v>
      </c>
      <c r="C32" s="1"/>
      <c r="D32" s="23" t="n">
        <f aca="false">a_ppc_launch_monthly_min_jpy/a_cur_div</f>
        <v>30000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customFormat="false" ht="15" hidden="false" customHeight="false" outlineLevel="0" collapsed="false">
      <c r="A33" s="1"/>
      <c r="B33" s="19" t="s">
        <v>35</v>
      </c>
      <c r="C33" s="1"/>
      <c r="D33" s="23" t="n">
        <f aca="false">a_act_capex_total/a_cur_div</f>
        <v>519200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customFormat="false" ht="15" hidden="false" customHeight="false" outlineLevel="0" collapsed="false">
      <c r="A35" s="1"/>
      <c r="B35" s="2" t="s">
        <v>36</v>
      </c>
      <c r="C35" s="2"/>
      <c r="D35" s="2"/>
      <c r="E35" s="2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</sheetData>
  <mergeCells count="6">
    <mergeCell ref="B7:I7"/>
    <mergeCell ref="B9:I9"/>
    <mergeCell ref="B20:I20"/>
    <mergeCell ref="B25:I25"/>
    <mergeCell ref="B27:I27"/>
    <mergeCell ref="B35:I35"/>
  </mergeCells>
  <dataValidations count="1">
    <dataValidation allowBlank="false" errorStyle="stop" operator="between" showDropDown="false" showErrorMessage="false" showInputMessage="false" sqref="H4" type="list">
      <formula1>"JPY,USD"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12D"/>
    <pageSetUpPr fitToPage="true"/>
  </sheetPr>
  <dimension ref="A1:Q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30" hidden="false" customHeight="true" outlineLevel="0" collapsed="false">
      <c r="A4" s="1"/>
      <c r="B4" s="3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customFormat="false" ht="15" hidden="false" customHeight="false" outlineLevel="0" collapsed="false">
      <c r="A5" s="1"/>
      <c r="B5" s="25" t="s">
        <v>38</v>
      </c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customFormat="false" ht="15" hidden="false" customHeight="false" outlineLevel="0" collapsed="false">
      <c r="A7" s="1"/>
      <c r="B7" s="26" t="str">
        <f aca="false">IF($C$18=4,"MEETS ALL 4 CRITERIA","NOT MET - "&amp;(4-$C$18)&amp;" OF 4 FAIL")</f>
        <v>NOT MET - 3 OF 4 FAIL</v>
      </c>
      <c r="C7" s="26"/>
      <c r="D7" s="26"/>
      <c r="E7" s="26"/>
      <c r="F7" s="26"/>
      <c r="G7" s="26"/>
      <c r="H7" s="26"/>
      <c r="I7" s="26"/>
      <c r="J7" s="1"/>
      <c r="K7" s="1"/>
      <c r="L7" s="1"/>
      <c r="M7" s="1"/>
      <c r="N7" s="1"/>
      <c r="O7" s="1"/>
      <c r="P7" s="1"/>
      <c r="Q7" s="1"/>
    </row>
    <row r="8" customFormat="false" ht="15" hidden="false" customHeight="false" outlineLevel="0" collapsed="false">
      <c r="A8" s="1"/>
      <c r="B8" s="26"/>
      <c r="C8" s="26"/>
      <c r="D8" s="26"/>
      <c r="E8" s="26"/>
      <c r="F8" s="26"/>
      <c r="G8" s="26"/>
      <c r="H8" s="26"/>
      <c r="I8" s="26"/>
      <c r="J8" s="1"/>
      <c r="K8" s="1"/>
      <c r="L8" s="1"/>
      <c r="M8" s="1"/>
      <c r="N8" s="1"/>
      <c r="O8" s="1"/>
      <c r="P8" s="1"/>
      <c r="Q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customFormat="false" ht="15" hidden="false" customHeight="false" outlineLevel="0" collapsed="false">
      <c r="A10" s="1"/>
      <c r="B10" s="27" t="str">
        <f aca="false">"Scenario: "&amp;a_scenario&amp;"   |   "&amp;$C$18&amp;" of 4 met"</f>
        <v>Scenario: base   |   1 of 4 met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customFormat="false" ht="15" hidden="false" customHeight="false" outlineLevel="0" collapsed="false">
      <c r="A12" s="1"/>
      <c r="B12" s="17" t="s">
        <v>39</v>
      </c>
      <c r="C12" s="18" t="s">
        <v>40</v>
      </c>
      <c r="D12" s="18" t="s">
        <v>41</v>
      </c>
      <c r="E12" s="18" t="s">
        <v>42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customFormat="false" ht="21.75" hidden="false" customHeight="true" outlineLevel="0" collapsed="false">
      <c r="A13" s="1"/>
      <c r="B13" s="19" t="s">
        <v>43</v>
      </c>
      <c r="C13" s="2" t="s">
        <v>44</v>
      </c>
      <c r="D13" s="28" t="n">
        <f aca="false">'Investment and Cash'!C28</f>
        <v>25922.3281800043</v>
      </c>
      <c r="E13" s="29" t="str">
        <f aca="false">IF(D13&lt;=20000,"PASS","FAIL")</f>
        <v>FAIL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Format="false" ht="21.75" hidden="false" customHeight="true" outlineLevel="0" collapsed="false">
      <c r="A14" s="1"/>
      <c r="B14" s="30" t="s">
        <v>45</v>
      </c>
      <c r="C14" s="31" t="s">
        <v>46</v>
      </c>
      <c r="D14" s="32" t="n">
        <f aca="false">(SUM('PL Monthly'!C12:H12))*a_cur_div/a_fx_jpy_per_usd</f>
        <v>4083.33333333333</v>
      </c>
      <c r="E14" s="33" t="str">
        <f aca="false">IF(D14&gt;=7000,"PASS","FAIL")</f>
        <v>FAIL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Format="false" ht="21.75" hidden="false" customHeight="true" outlineLevel="0" collapsed="false">
      <c r="A15" s="1"/>
      <c r="B15" s="19" t="s">
        <v>47</v>
      </c>
      <c r="C15" s="2" t="s">
        <v>48</v>
      </c>
      <c r="D15" s="24" t="n">
        <f aca="false">'Investment and Cash'!C33</f>
        <v>0.777428571428572</v>
      </c>
      <c r="E15" s="29" t="str">
        <f aca="false">IF(D15&gt;=0.4,"PASS","FAIL")</f>
        <v>PASS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customFormat="false" ht="21.75" hidden="false" customHeight="true" outlineLevel="0" collapsed="false">
      <c r="A16" s="1"/>
      <c r="B16" s="30" t="s">
        <v>49</v>
      </c>
      <c r="C16" s="31" t="s">
        <v>50</v>
      </c>
      <c r="D16" s="34" t="n">
        <f aca="false">'Investment and Cash'!C34</f>
        <v>0.147868719741686</v>
      </c>
      <c r="E16" s="33" t="str">
        <f aca="false">IF(D16&gt;=0.15,"PASS","FAIL")</f>
        <v>FAIL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Format="false" ht="15" hidden="true" customHeight="false" outlineLevel="0" collapsed="false">
      <c r="A18" s="1"/>
      <c r="B18" s="1"/>
      <c r="C18" s="1" t="n">
        <f aca="false">(D13&lt;=20000)+(D14&gt;=7000)+(D15&gt;=0.4)+(D16&gt;=0.15)</f>
        <v>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Format="false" ht="15" hidden="false" customHeight="true" outlineLevel="0" collapsed="false">
      <c r="A20" s="1"/>
      <c r="B20" s="35" t="s">
        <v>51</v>
      </c>
      <c r="C20" s="35"/>
      <c r="D20" s="35"/>
      <c r="E20" s="35"/>
      <c r="F20" s="35"/>
      <c r="G20" s="35"/>
      <c r="H20" s="35"/>
      <c r="I20" s="35"/>
      <c r="J20" s="1"/>
      <c r="K20" s="1"/>
      <c r="L20" s="1"/>
      <c r="M20" s="1"/>
      <c r="N20" s="1"/>
      <c r="O20" s="1"/>
      <c r="P20" s="1"/>
      <c r="Q20" s="1"/>
    </row>
    <row r="21" customFormat="false" ht="15" hidden="false" customHeight="false" outlineLevel="0" collapsed="false">
      <c r="A21" s="1"/>
      <c r="B21" s="35"/>
      <c r="C21" s="35"/>
      <c r="D21" s="35"/>
      <c r="E21" s="35"/>
      <c r="F21" s="35"/>
      <c r="G21" s="35"/>
      <c r="H21" s="35"/>
      <c r="I21" s="35"/>
      <c r="J21" s="1"/>
      <c r="K21" s="1"/>
      <c r="L21" s="1"/>
      <c r="M21" s="1"/>
      <c r="N21" s="1"/>
      <c r="O21" s="1"/>
      <c r="P21" s="1"/>
      <c r="Q21" s="1"/>
    </row>
    <row r="22" customFormat="false" ht="15" hidden="false" customHeight="false" outlineLevel="0" collapsed="false">
      <c r="A22" s="1"/>
      <c r="B22" s="35"/>
      <c r="C22" s="35"/>
      <c r="D22" s="35"/>
      <c r="E22" s="35"/>
      <c r="F22" s="35"/>
      <c r="G22" s="35"/>
      <c r="H22" s="35"/>
      <c r="I22" s="35"/>
      <c r="J22" s="1"/>
      <c r="K22" s="1"/>
      <c r="L22" s="1"/>
      <c r="M22" s="1"/>
      <c r="N22" s="1"/>
      <c r="O22" s="1"/>
      <c r="P22" s="1"/>
      <c r="Q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</sheetData>
  <mergeCells count="2">
    <mergeCell ref="B7:I8"/>
    <mergeCell ref="B20:I22"/>
  </mergeCells>
  <conditionalFormatting sqref="B7:I8">
    <cfRule type="expression" priority="2" aboveAverage="0" equalAverage="0" bottom="0" percent="0" rank="0" text="" dxfId="0">
      <formula>$C$18=4</formula>
    </cfRule>
    <cfRule type="expression" priority="3" aboveAverage="0" equalAverage="0" bottom="0" percent="0" rank="0" text="" dxfId="1">
      <formula>$C$18&lt;4</formula>
    </cfRule>
  </conditionalFormatting>
  <conditionalFormatting sqref="E13:E16">
    <cfRule type="cellIs" priority="4" operator="equal" aboveAverage="0" equalAverage="0" bottom="0" percent="0" rank="0" text="" dxfId="2">
      <formula>"PASS"</formula>
    </cfRule>
    <cfRule type="cellIs" priority="5" operator="equal" aboveAverage="0" equalAverage="0" bottom="0" percent="0" rank="0" text="" dxfId="3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276"/>
    <pageSetUpPr fitToPage="false"/>
  </sheetPr>
  <dimension ref="A1:Q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58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30" hidden="false" customHeight="true" outlineLevel="0" collapsed="false">
      <c r="A4" s="1"/>
      <c r="B4" s="3" t="s">
        <v>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customFormat="false" ht="15" hidden="false" customHeight="false" outlineLevel="0" collapsed="false">
      <c r="A5" s="1"/>
      <c r="B5" s="25" t="s">
        <v>53</v>
      </c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customFormat="false" ht="24" hidden="false" customHeight="true" outlineLevel="0" collapsed="false">
      <c r="A7" s="1"/>
      <c r="B7" s="10" t="s">
        <v>54</v>
      </c>
      <c r="C7" s="10"/>
      <c r="D7" s="10"/>
      <c r="E7" s="10"/>
      <c r="F7" s="10"/>
      <c r="G7" s="10"/>
      <c r="H7" s="10"/>
      <c r="I7" s="10"/>
      <c r="J7" s="1"/>
      <c r="K7" s="1"/>
      <c r="L7" s="1"/>
      <c r="M7" s="1"/>
      <c r="N7" s="1"/>
      <c r="O7" s="1"/>
      <c r="P7" s="1"/>
      <c r="Q7" s="1"/>
    </row>
    <row r="8" customFormat="false" ht="15" hidden="false" customHeight="false" outlineLevel="0" collapsed="false">
      <c r="A8" s="1"/>
      <c r="B8" s="17" t="s">
        <v>55</v>
      </c>
      <c r="C8" s="18" t="s">
        <v>56</v>
      </c>
      <c r="D8" s="18" t="s">
        <v>57</v>
      </c>
      <c r="E8" s="18" t="s">
        <v>58</v>
      </c>
      <c r="F8" s="18" t="s">
        <v>59</v>
      </c>
      <c r="G8" s="18" t="s">
        <v>60</v>
      </c>
      <c r="H8" s="18" t="s">
        <v>61</v>
      </c>
      <c r="I8" s="18" t="s">
        <v>62</v>
      </c>
      <c r="J8" s="1"/>
      <c r="K8" s="1"/>
      <c r="L8" s="1"/>
      <c r="M8" s="1"/>
      <c r="N8" s="1"/>
      <c r="O8" s="1"/>
      <c r="P8" s="1"/>
      <c r="Q8" s="1"/>
    </row>
    <row r="9" customFormat="false" ht="24" hidden="false" customHeight="true" outlineLevel="0" collapsed="false">
      <c r="A9" s="1"/>
      <c r="B9" s="19" t="s">
        <v>63</v>
      </c>
      <c r="C9" s="5" t="n">
        <v>18000</v>
      </c>
      <c r="D9" s="2" t="s">
        <v>64</v>
      </c>
      <c r="E9" s="35" t="s">
        <v>65</v>
      </c>
      <c r="F9" s="35" t="s">
        <v>66</v>
      </c>
      <c r="G9" s="2" t="s">
        <v>67</v>
      </c>
      <c r="H9" s="2" t="s">
        <v>68</v>
      </c>
      <c r="I9" s="2" t="s">
        <v>69</v>
      </c>
      <c r="J9" s="1"/>
      <c r="K9" s="1"/>
      <c r="L9" s="1"/>
      <c r="M9" s="1"/>
      <c r="N9" s="1"/>
      <c r="O9" s="1"/>
      <c r="P9" s="1"/>
      <c r="Q9" s="1"/>
    </row>
    <row r="10" customFormat="false" ht="24" hidden="false" customHeight="true" outlineLevel="0" collapsed="false">
      <c r="A10" s="1"/>
      <c r="B10" s="30" t="s">
        <v>32</v>
      </c>
      <c r="C10" s="36" t="n">
        <v>0.05</v>
      </c>
      <c r="D10" s="31" t="s">
        <v>70</v>
      </c>
      <c r="E10" s="37" t="s">
        <v>71</v>
      </c>
      <c r="F10" s="37" t="s">
        <v>72</v>
      </c>
      <c r="G10" s="31" t="s">
        <v>73</v>
      </c>
      <c r="H10" s="31" t="s">
        <v>68</v>
      </c>
      <c r="I10" s="31" t="s">
        <v>74</v>
      </c>
      <c r="J10" s="1"/>
      <c r="K10" s="1"/>
      <c r="L10" s="1"/>
      <c r="M10" s="1"/>
      <c r="N10" s="1"/>
      <c r="O10" s="1"/>
      <c r="P10" s="1"/>
      <c r="Q10" s="1"/>
    </row>
    <row r="11" customFormat="false" ht="24" hidden="false" customHeight="true" outlineLevel="0" collapsed="false">
      <c r="A11" s="1"/>
      <c r="B11" s="19" t="s">
        <v>75</v>
      </c>
      <c r="C11" s="36" t="n">
        <v>0.25</v>
      </c>
      <c r="D11" s="2" t="s">
        <v>70</v>
      </c>
      <c r="E11" s="35" t="s">
        <v>76</v>
      </c>
      <c r="F11" s="35" t="s">
        <v>77</v>
      </c>
      <c r="G11" s="2" t="s">
        <v>73</v>
      </c>
      <c r="H11" s="2" t="s">
        <v>68</v>
      </c>
      <c r="I11" s="2" t="s">
        <v>78</v>
      </c>
      <c r="J11" s="1"/>
      <c r="K11" s="1"/>
      <c r="L11" s="1"/>
      <c r="M11" s="1"/>
      <c r="N11" s="1"/>
      <c r="O11" s="1"/>
      <c r="P11" s="1"/>
      <c r="Q11" s="1"/>
    </row>
    <row r="12" customFormat="false" ht="24" hidden="false" customHeight="true" outlineLevel="0" collapsed="false">
      <c r="A12" s="1"/>
      <c r="B12" s="30" t="s">
        <v>79</v>
      </c>
      <c r="C12" s="5" t="n">
        <v>9</v>
      </c>
      <c r="D12" s="31" t="s">
        <v>80</v>
      </c>
      <c r="E12" s="37" t="s">
        <v>81</v>
      </c>
      <c r="F12" s="37" t="s">
        <v>82</v>
      </c>
      <c r="G12" s="31" t="s">
        <v>73</v>
      </c>
      <c r="H12" s="31" t="s">
        <v>68</v>
      </c>
      <c r="I12" s="31" t="s">
        <v>83</v>
      </c>
      <c r="J12" s="1"/>
      <c r="K12" s="1"/>
      <c r="L12" s="1"/>
      <c r="M12" s="1"/>
      <c r="N12" s="1"/>
      <c r="O12" s="1"/>
      <c r="P12" s="1"/>
      <c r="Q12" s="1"/>
    </row>
    <row r="13" customFormat="false" ht="24" hidden="false" customHeight="true" outlineLevel="0" collapsed="false">
      <c r="A13" s="1"/>
      <c r="B13" s="19" t="s">
        <v>84</v>
      </c>
      <c r="C13" s="36" t="n">
        <v>0.21</v>
      </c>
      <c r="D13" s="2" t="s">
        <v>70</v>
      </c>
      <c r="E13" s="35" t="s">
        <v>85</v>
      </c>
      <c r="F13" s="35" t="s">
        <v>86</v>
      </c>
      <c r="G13" s="2" t="s">
        <v>73</v>
      </c>
      <c r="H13" s="2" t="s">
        <v>68</v>
      </c>
      <c r="I13" s="2" t="s">
        <v>87</v>
      </c>
      <c r="J13" s="1"/>
      <c r="K13" s="1"/>
      <c r="L13" s="1"/>
      <c r="M13" s="1"/>
      <c r="N13" s="1"/>
      <c r="O13" s="1"/>
      <c r="P13" s="1"/>
      <c r="Q13" s="1"/>
    </row>
    <row r="14" customFormat="false" ht="24" hidden="false" customHeight="true" outlineLevel="0" collapsed="false">
      <c r="A14" s="1"/>
      <c r="B14" s="30" t="s">
        <v>88</v>
      </c>
      <c r="C14" s="36" t="n">
        <v>0.21</v>
      </c>
      <c r="D14" s="31" t="s">
        <v>70</v>
      </c>
      <c r="E14" s="37" t="s">
        <v>89</v>
      </c>
      <c r="F14" s="37" t="s">
        <v>86</v>
      </c>
      <c r="G14" s="31" t="s">
        <v>73</v>
      </c>
      <c r="H14" s="31" t="s">
        <v>68</v>
      </c>
      <c r="I14" s="31" t="s">
        <v>90</v>
      </c>
      <c r="J14" s="1"/>
      <c r="K14" s="1"/>
      <c r="L14" s="1"/>
      <c r="M14" s="1"/>
      <c r="N14" s="1"/>
      <c r="O14" s="1"/>
      <c r="P14" s="1"/>
      <c r="Q14" s="1"/>
    </row>
    <row r="15" customFormat="false" ht="24" hidden="false" customHeight="true" outlineLevel="0" collapsed="false">
      <c r="A15" s="1"/>
      <c r="B15" s="19" t="s">
        <v>91</v>
      </c>
      <c r="C15" s="5" t="n">
        <v>8</v>
      </c>
      <c r="D15" s="2" t="s">
        <v>92</v>
      </c>
      <c r="E15" s="35" t="s">
        <v>93</v>
      </c>
      <c r="F15" s="35" t="s">
        <v>94</v>
      </c>
      <c r="G15" s="2" t="s">
        <v>73</v>
      </c>
      <c r="H15" s="2" t="s">
        <v>68</v>
      </c>
      <c r="I15" s="2" t="s">
        <v>95</v>
      </c>
      <c r="J15" s="1"/>
      <c r="K15" s="1"/>
      <c r="L15" s="1"/>
      <c r="M15" s="1"/>
      <c r="N15" s="1"/>
      <c r="O15" s="1"/>
      <c r="P15" s="1"/>
      <c r="Q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Format="false" ht="24" hidden="false" customHeight="true" outlineLevel="0" collapsed="false">
      <c r="A17" s="1"/>
      <c r="B17" s="10" t="s">
        <v>96</v>
      </c>
      <c r="C17" s="10"/>
      <c r="D17" s="10"/>
      <c r="E17" s="10"/>
      <c r="F17" s="10"/>
      <c r="G17" s="10"/>
      <c r="H17" s="10"/>
      <c r="I17" s="10"/>
      <c r="J17" s="1"/>
      <c r="K17" s="1"/>
      <c r="L17" s="1"/>
      <c r="M17" s="1"/>
      <c r="N17" s="1"/>
      <c r="O17" s="1"/>
      <c r="P17" s="1"/>
      <c r="Q17" s="1"/>
    </row>
    <row r="18" customFormat="false" ht="15" hidden="false" customHeight="false" outlineLevel="0" collapsed="false">
      <c r="A18" s="1"/>
      <c r="B18" s="17" t="s">
        <v>55</v>
      </c>
      <c r="C18" s="18" t="s">
        <v>56</v>
      </c>
      <c r="D18" s="18" t="s">
        <v>57</v>
      </c>
      <c r="E18" s="18" t="s">
        <v>58</v>
      </c>
      <c r="F18" s="18" t="s">
        <v>59</v>
      </c>
      <c r="G18" s="18" t="s">
        <v>60</v>
      </c>
      <c r="H18" s="18" t="s">
        <v>61</v>
      </c>
      <c r="I18" s="18" t="s">
        <v>62</v>
      </c>
      <c r="J18" s="1"/>
      <c r="K18" s="1"/>
      <c r="L18" s="1"/>
      <c r="M18" s="1"/>
      <c r="N18" s="1"/>
      <c r="O18" s="1"/>
      <c r="P18" s="1"/>
      <c r="Q18" s="1"/>
    </row>
    <row r="19" customFormat="false" ht="24" hidden="false" customHeight="true" outlineLevel="0" collapsed="false">
      <c r="A19" s="1"/>
      <c r="B19" s="19" t="s">
        <v>97</v>
      </c>
      <c r="C19" s="36" t="n">
        <v>0.1</v>
      </c>
      <c r="D19" s="2" t="s">
        <v>70</v>
      </c>
      <c r="E19" s="35" t="s">
        <v>98</v>
      </c>
      <c r="F19" s="35" t="s">
        <v>99</v>
      </c>
      <c r="G19" s="2" t="s">
        <v>100</v>
      </c>
      <c r="H19" s="2" t="s">
        <v>68</v>
      </c>
      <c r="I19" s="2" t="s">
        <v>101</v>
      </c>
      <c r="J19" s="1"/>
      <c r="K19" s="1"/>
      <c r="L19" s="1"/>
      <c r="M19" s="1"/>
      <c r="N19" s="1"/>
      <c r="O19" s="1"/>
      <c r="P19" s="1"/>
      <c r="Q19" s="1"/>
    </row>
    <row r="20" customFormat="false" ht="24" hidden="false" customHeight="true" outlineLevel="0" collapsed="false">
      <c r="A20" s="1"/>
      <c r="B20" s="30" t="s">
        <v>102</v>
      </c>
      <c r="C20" s="36" t="n">
        <v>0.01</v>
      </c>
      <c r="D20" s="31" t="s">
        <v>70</v>
      </c>
      <c r="E20" s="37" t="s">
        <v>103</v>
      </c>
      <c r="F20" s="38" t="s">
        <v>104</v>
      </c>
      <c r="G20" s="31" t="s">
        <v>100</v>
      </c>
      <c r="H20" s="31" t="s">
        <v>68</v>
      </c>
      <c r="I20" s="31" t="s">
        <v>105</v>
      </c>
      <c r="J20" s="1"/>
      <c r="K20" s="1"/>
      <c r="L20" s="1"/>
      <c r="M20" s="1"/>
      <c r="N20" s="1"/>
      <c r="O20" s="1"/>
      <c r="P20" s="1"/>
      <c r="Q20" s="1"/>
    </row>
    <row r="21" customFormat="false" ht="24" hidden="false" customHeight="true" outlineLevel="0" collapsed="false">
      <c r="A21" s="1"/>
      <c r="B21" s="19" t="s">
        <v>106</v>
      </c>
      <c r="C21" s="36" t="n">
        <v>0.08</v>
      </c>
      <c r="D21" s="2" t="s">
        <v>70</v>
      </c>
      <c r="E21" s="35" t="s">
        <v>107</v>
      </c>
      <c r="F21" s="39" t="s">
        <v>108</v>
      </c>
      <c r="G21" s="2" t="s">
        <v>73</v>
      </c>
      <c r="H21" s="2" t="s">
        <v>68</v>
      </c>
      <c r="I21" s="2" t="s">
        <v>109</v>
      </c>
      <c r="J21" s="1"/>
      <c r="K21" s="1"/>
      <c r="L21" s="1"/>
      <c r="M21" s="1"/>
      <c r="N21" s="1"/>
      <c r="O21" s="1"/>
      <c r="P21" s="1"/>
      <c r="Q21" s="1"/>
    </row>
    <row r="22" customFormat="false" ht="24" hidden="false" customHeight="true" outlineLevel="0" collapsed="false">
      <c r="A22" s="1"/>
      <c r="B22" s="30" t="s">
        <v>110</v>
      </c>
      <c r="C22" s="5" t="n">
        <v>3</v>
      </c>
      <c r="D22" s="31" t="s">
        <v>80</v>
      </c>
      <c r="E22" s="37" t="s">
        <v>111</v>
      </c>
      <c r="F22" s="37" t="s">
        <v>112</v>
      </c>
      <c r="G22" s="31" t="s">
        <v>73</v>
      </c>
      <c r="H22" s="31" t="s">
        <v>68</v>
      </c>
      <c r="I22" s="31" t="s">
        <v>113</v>
      </c>
      <c r="J22" s="1"/>
      <c r="K22" s="1"/>
      <c r="L22" s="1"/>
      <c r="M22" s="1"/>
      <c r="N22" s="1"/>
      <c r="O22" s="1"/>
      <c r="P22" s="1"/>
      <c r="Q22" s="1"/>
    </row>
    <row r="23" customFormat="false" ht="24" hidden="false" customHeight="true" outlineLevel="0" collapsed="false">
      <c r="A23" s="1"/>
      <c r="B23" s="19" t="s">
        <v>114</v>
      </c>
      <c r="C23" s="36" t="n">
        <v>0.02</v>
      </c>
      <c r="D23" s="2" t="s">
        <v>70</v>
      </c>
      <c r="E23" s="35" t="s">
        <v>115</v>
      </c>
      <c r="F23" s="39" t="s">
        <v>108</v>
      </c>
      <c r="G23" s="2" t="s">
        <v>73</v>
      </c>
      <c r="H23" s="2" t="s">
        <v>68</v>
      </c>
      <c r="I23" s="2" t="s">
        <v>116</v>
      </c>
      <c r="J23" s="1"/>
      <c r="K23" s="1"/>
      <c r="L23" s="1"/>
      <c r="M23" s="1"/>
      <c r="N23" s="1"/>
      <c r="O23" s="1"/>
      <c r="P23" s="1"/>
      <c r="Q23" s="1"/>
    </row>
    <row r="24" customFormat="false" ht="24" hidden="false" customHeight="true" outlineLevel="0" collapsed="false">
      <c r="A24" s="1"/>
      <c r="B24" s="30" t="s">
        <v>117</v>
      </c>
      <c r="C24" s="40" t="n">
        <v>0</v>
      </c>
      <c r="D24" s="31" t="s">
        <v>118</v>
      </c>
      <c r="E24" s="37" t="s">
        <v>119</v>
      </c>
      <c r="F24" s="37" t="s">
        <v>112</v>
      </c>
      <c r="G24" s="31" t="s">
        <v>73</v>
      </c>
      <c r="H24" s="31" t="s">
        <v>68</v>
      </c>
      <c r="I24" s="31" t="s">
        <v>120</v>
      </c>
      <c r="J24" s="1"/>
      <c r="K24" s="1"/>
      <c r="L24" s="1"/>
      <c r="M24" s="1"/>
      <c r="N24" s="1"/>
      <c r="O24" s="1"/>
      <c r="P24" s="1"/>
      <c r="Q24" s="1"/>
    </row>
    <row r="25" customFormat="false" ht="24" hidden="false" customHeight="true" outlineLevel="0" collapsed="false">
      <c r="A25" s="1"/>
      <c r="B25" s="19" t="s">
        <v>121</v>
      </c>
      <c r="C25" s="36" t="n">
        <v>0.02</v>
      </c>
      <c r="D25" s="2" t="s">
        <v>70</v>
      </c>
      <c r="E25" s="35" t="s">
        <v>122</v>
      </c>
      <c r="F25" s="35" t="s">
        <v>123</v>
      </c>
      <c r="G25" s="2" t="s">
        <v>67</v>
      </c>
      <c r="H25" s="2" t="s">
        <v>68</v>
      </c>
      <c r="I25" s="2" t="s">
        <v>124</v>
      </c>
      <c r="J25" s="1"/>
      <c r="K25" s="1"/>
      <c r="L25" s="1"/>
      <c r="M25" s="1"/>
      <c r="N25" s="1"/>
      <c r="O25" s="1"/>
      <c r="P25" s="1"/>
      <c r="Q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customFormat="false" ht="24" hidden="false" customHeight="true" outlineLevel="0" collapsed="false">
      <c r="A27" s="1"/>
      <c r="B27" s="10" t="s">
        <v>125</v>
      </c>
      <c r="C27" s="10"/>
      <c r="D27" s="10"/>
      <c r="E27" s="10"/>
      <c r="F27" s="10"/>
      <c r="G27" s="10"/>
      <c r="H27" s="10"/>
      <c r="I27" s="10"/>
      <c r="J27" s="1"/>
      <c r="K27" s="1"/>
      <c r="L27" s="1"/>
      <c r="M27" s="1"/>
      <c r="N27" s="1"/>
      <c r="O27" s="1"/>
      <c r="P27" s="1"/>
      <c r="Q27" s="1"/>
    </row>
    <row r="28" customFormat="false" ht="15" hidden="false" customHeight="false" outlineLevel="0" collapsed="false">
      <c r="A28" s="1"/>
      <c r="B28" s="17" t="s">
        <v>55</v>
      </c>
      <c r="C28" s="18" t="s">
        <v>56</v>
      </c>
      <c r="D28" s="18" t="s">
        <v>57</v>
      </c>
      <c r="E28" s="18" t="s">
        <v>58</v>
      </c>
      <c r="F28" s="18" t="s">
        <v>59</v>
      </c>
      <c r="G28" s="18" t="s">
        <v>60</v>
      </c>
      <c r="H28" s="18" t="s">
        <v>61</v>
      </c>
      <c r="I28" s="18" t="s">
        <v>62</v>
      </c>
      <c r="J28" s="1"/>
      <c r="K28" s="1"/>
      <c r="L28" s="1"/>
      <c r="M28" s="1"/>
      <c r="N28" s="1"/>
      <c r="O28" s="1"/>
      <c r="P28" s="1"/>
      <c r="Q28" s="1"/>
    </row>
    <row r="29" customFormat="false" ht="24" hidden="false" customHeight="true" outlineLevel="0" collapsed="false">
      <c r="A29" s="1"/>
      <c r="B29" s="19" t="s">
        <v>126</v>
      </c>
      <c r="C29" s="40" t="n">
        <v>1575</v>
      </c>
      <c r="D29" s="2" t="s">
        <v>118</v>
      </c>
      <c r="E29" s="35" t="s">
        <v>127</v>
      </c>
      <c r="F29" s="39" t="s">
        <v>128</v>
      </c>
      <c r="G29" s="2" t="s">
        <v>73</v>
      </c>
      <c r="H29" s="2" t="s">
        <v>68</v>
      </c>
      <c r="I29" s="2" t="s">
        <v>129</v>
      </c>
      <c r="J29" s="1"/>
      <c r="K29" s="1"/>
      <c r="L29" s="1"/>
      <c r="M29" s="1"/>
      <c r="N29" s="1"/>
      <c r="O29" s="1"/>
      <c r="P29" s="1"/>
      <c r="Q29" s="1"/>
    </row>
    <row r="30" customFormat="false" ht="24" hidden="false" customHeight="true" outlineLevel="0" collapsed="false">
      <c r="A30" s="1"/>
      <c r="B30" s="30" t="s">
        <v>130</v>
      </c>
      <c r="C30" s="40" t="n">
        <v>50</v>
      </c>
      <c r="D30" s="31" t="s">
        <v>118</v>
      </c>
      <c r="E30" s="37" t="s">
        <v>131</v>
      </c>
      <c r="F30" s="38" t="s">
        <v>132</v>
      </c>
      <c r="G30" s="31" t="s">
        <v>73</v>
      </c>
      <c r="H30" s="31" t="s">
        <v>68</v>
      </c>
      <c r="I30" s="31" t="s">
        <v>133</v>
      </c>
      <c r="J30" s="1"/>
      <c r="K30" s="1"/>
      <c r="L30" s="1"/>
      <c r="M30" s="1"/>
      <c r="N30" s="1"/>
      <c r="O30" s="1"/>
      <c r="P30" s="1"/>
      <c r="Q30" s="1"/>
    </row>
    <row r="31" customFormat="false" ht="24" hidden="false" customHeight="true" outlineLevel="0" collapsed="false">
      <c r="A31" s="1"/>
      <c r="B31" s="19" t="s">
        <v>134</v>
      </c>
      <c r="C31" s="40" t="n">
        <v>0</v>
      </c>
      <c r="D31" s="2" t="s">
        <v>118</v>
      </c>
      <c r="E31" s="35" t="s">
        <v>135</v>
      </c>
      <c r="F31" s="35" t="s">
        <v>136</v>
      </c>
      <c r="G31" s="2" t="s">
        <v>73</v>
      </c>
      <c r="H31" s="2" t="s">
        <v>68</v>
      </c>
      <c r="I31" s="2" t="s">
        <v>137</v>
      </c>
      <c r="J31" s="1"/>
      <c r="K31" s="1"/>
      <c r="L31" s="1"/>
      <c r="M31" s="1"/>
      <c r="N31" s="1"/>
      <c r="O31" s="1"/>
      <c r="P31" s="1"/>
      <c r="Q31" s="1"/>
    </row>
    <row r="32" customFormat="false" ht="24" hidden="false" customHeight="true" outlineLevel="0" collapsed="false">
      <c r="A32" s="1"/>
      <c r="B32" s="30" t="s">
        <v>138</v>
      </c>
      <c r="C32" s="36" t="n">
        <v>0.01</v>
      </c>
      <c r="D32" s="31" t="s">
        <v>70</v>
      </c>
      <c r="E32" s="37" t="s">
        <v>139</v>
      </c>
      <c r="F32" s="38" t="s">
        <v>140</v>
      </c>
      <c r="G32" s="31" t="s">
        <v>73</v>
      </c>
      <c r="H32" s="31" t="s">
        <v>68</v>
      </c>
      <c r="I32" s="31" t="s">
        <v>141</v>
      </c>
      <c r="J32" s="1"/>
      <c r="K32" s="1"/>
      <c r="L32" s="1"/>
      <c r="M32" s="1"/>
      <c r="N32" s="1"/>
      <c r="O32" s="1"/>
      <c r="P32" s="1"/>
      <c r="Q32" s="1"/>
    </row>
    <row r="33" customFormat="false" ht="24" hidden="false" customHeight="true" outlineLevel="0" collapsed="false">
      <c r="A33" s="1"/>
      <c r="B33" s="19" t="s">
        <v>142</v>
      </c>
      <c r="C33" s="36" t="n">
        <v>0</v>
      </c>
      <c r="D33" s="2" t="s">
        <v>70</v>
      </c>
      <c r="E33" s="35" t="s">
        <v>143</v>
      </c>
      <c r="F33" s="35" t="s">
        <v>144</v>
      </c>
      <c r="G33" s="2" t="s">
        <v>67</v>
      </c>
      <c r="H33" s="2" t="s">
        <v>68</v>
      </c>
      <c r="I33" s="2" t="s">
        <v>145</v>
      </c>
      <c r="J33" s="1"/>
      <c r="K33" s="1"/>
      <c r="L33" s="1"/>
      <c r="M33" s="1"/>
      <c r="N33" s="1"/>
      <c r="O33" s="1"/>
      <c r="P33" s="1"/>
      <c r="Q33" s="1"/>
    </row>
    <row r="34" customFormat="false" ht="24" hidden="false" customHeight="true" outlineLevel="0" collapsed="false">
      <c r="A34" s="1"/>
      <c r="B34" s="30" t="s">
        <v>146</v>
      </c>
      <c r="C34" s="36" t="n">
        <v>1</v>
      </c>
      <c r="D34" s="31" t="s">
        <v>70</v>
      </c>
      <c r="E34" s="37" t="s">
        <v>147</v>
      </c>
      <c r="F34" s="38" t="s">
        <v>148</v>
      </c>
      <c r="G34" s="31" t="s">
        <v>67</v>
      </c>
      <c r="H34" s="31" t="s">
        <v>68</v>
      </c>
      <c r="I34" s="31" t="s">
        <v>149</v>
      </c>
      <c r="J34" s="1"/>
      <c r="K34" s="1"/>
      <c r="L34" s="1"/>
      <c r="M34" s="1"/>
      <c r="N34" s="1"/>
      <c r="O34" s="1"/>
      <c r="P34" s="1"/>
      <c r="Q34" s="1"/>
    </row>
    <row r="35" customFormat="false" ht="24" hidden="false" customHeight="true" outlineLevel="0" collapsed="false">
      <c r="A35" s="1"/>
      <c r="B35" s="19" t="s">
        <v>150</v>
      </c>
      <c r="C35" s="5" t="n">
        <v>0</v>
      </c>
      <c r="D35" s="2" t="s">
        <v>64</v>
      </c>
      <c r="E35" s="35" t="s">
        <v>151</v>
      </c>
      <c r="F35" s="35" t="s">
        <v>152</v>
      </c>
      <c r="G35" s="2" t="s">
        <v>73</v>
      </c>
      <c r="H35" s="2" t="s">
        <v>68</v>
      </c>
      <c r="I35" s="2" t="s">
        <v>153</v>
      </c>
      <c r="J35" s="1"/>
      <c r="K35" s="1"/>
      <c r="L35" s="1"/>
      <c r="M35" s="1"/>
      <c r="N35" s="1"/>
      <c r="O35" s="1"/>
      <c r="P35" s="1"/>
      <c r="Q35" s="1"/>
    </row>
    <row r="36" customFormat="false" ht="24" hidden="false" customHeight="true" outlineLevel="0" collapsed="false">
      <c r="A36" s="1"/>
      <c r="B36" s="30" t="s">
        <v>154</v>
      </c>
      <c r="C36" s="36" t="n">
        <v>0.5</v>
      </c>
      <c r="D36" s="31" t="s">
        <v>70</v>
      </c>
      <c r="E36" s="37" t="s">
        <v>155</v>
      </c>
      <c r="F36" s="37" t="s">
        <v>156</v>
      </c>
      <c r="G36" s="31" t="s">
        <v>73</v>
      </c>
      <c r="H36" s="31" t="s">
        <v>68</v>
      </c>
      <c r="I36" s="31" t="s">
        <v>157</v>
      </c>
      <c r="J36" s="1"/>
      <c r="K36" s="1"/>
      <c r="L36" s="1"/>
      <c r="M36" s="1"/>
      <c r="N36" s="1"/>
      <c r="O36" s="1"/>
      <c r="P36" s="1"/>
      <c r="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customFormat="false" ht="24" hidden="false" customHeight="true" outlineLevel="0" collapsed="false">
      <c r="A38" s="1"/>
      <c r="B38" s="10" t="s">
        <v>158</v>
      </c>
      <c r="C38" s="10"/>
      <c r="D38" s="10"/>
      <c r="E38" s="10"/>
      <c r="F38" s="10"/>
      <c r="G38" s="10"/>
      <c r="H38" s="10"/>
      <c r="I38" s="10"/>
      <c r="J38" s="1"/>
      <c r="K38" s="1"/>
      <c r="L38" s="1"/>
      <c r="M38" s="1"/>
      <c r="N38" s="1"/>
      <c r="O38" s="1"/>
      <c r="P38" s="1"/>
      <c r="Q38" s="1"/>
    </row>
    <row r="39" customFormat="false" ht="15" hidden="false" customHeight="false" outlineLevel="0" collapsed="false">
      <c r="A39" s="1"/>
      <c r="B39" s="17" t="s">
        <v>55</v>
      </c>
      <c r="C39" s="18" t="s">
        <v>56</v>
      </c>
      <c r="D39" s="18" t="s">
        <v>57</v>
      </c>
      <c r="E39" s="18" t="s">
        <v>58</v>
      </c>
      <c r="F39" s="18" t="s">
        <v>59</v>
      </c>
      <c r="G39" s="18" t="s">
        <v>60</v>
      </c>
      <c r="H39" s="18" t="s">
        <v>61</v>
      </c>
      <c r="I39" s="18" t="s">
        <v>62</v>
      </c>
      <c r="J39" s="1"/>
      <c r="K39" s="1"/>
      <c r="L39" s="1"/>
      <c r="M39" s="1"/>
      <c r="N39" s="1"/>
      <c r="O39" s="1"/>
      <c r="P39" s="1"/>
      <c r="Q39" s="1"/>
    </row>
    <row r="40" customFormat="false" ht="24" hidden="false" customHeight="true" outlineLevel="0" collapsed="false">
      <c r="A40" s="1"/>
      <c r="B40" s="19" t="s">
        <v>159</v>
      </c>
      <c r="C40" s="5" t="n">
        <v>180</v>
      </c>
      <c r="D40" s="2" t="s">
        <v>160</v>
      </c>
      <c r="E40" s="35" t="s">
        <v>161</v>
      </c>
      <c r="F40" s="35" t="s">
        <v>162</v>
      </c>
      <c r="G40" s="2" t="s">
        <v>100</v>
      </c>
      <c r="H40" s="2" t="s">
        <v>68</v>
      </c>
      <c r="I40" s="2" t="s">
        <v>163</v>
      </c>
      <c r="J40" s="1"/>
      <c r="K40" s="1"/>
      <c r="L40" s="1"/>
      <c r="M40" s="1"/>
      <c r="N40" s="1"/>
      <c r="O40" s="1"/>
      <c r="P40" s="1"/>
      <c r="Q40" s="1"/>
    </row>
    <row r="41" customFormat="false" ht="24" hidden="false" customHeight="true" outlineLevel="0" collapsed="false">
      <c r="A41" s="1"/>
      <c r="B41" s="30" t="s">
        <v>164</v>
      </c>
      <c r="C41" s="5" t="n">
        <v>60</v>
      </c>
      <c r="D41" s="31" t="s">
        <v>160</v>
      </c>
      <c r="E41" s="37" t="s">
        <v>165</v>
      </c>
      <c r="F41" s="37" t="s">
        <v>162</v>
      </c>
      <c r="G41" s="31" t="s">
        <v>100</v>
      </c>
      <c r="H41" s="31" t="s">
        <v>68</v>
      </c>
      <c r="I41" s="31" t="s">
        <v>166</v>
      </c>
      <c r="J41" s="1"/>
      <c r="K41" s="1"/>
      <c r="L41" s="1"/>
      <c r="M41" s="1"/>
      <c r="N41" s="1"/>
      <c r="O41" s="1"/>
      <c r="P41" s="1"/>
      <c r="Q41" s="1"/>
    </row>
    <row r="42" customFormat="false" ht="24" hidden="false" customHeight="true" outlineLevel="0" collapsed="false">
      <c r="A42" s="1"/>
      <c r="B42" s="19" t="s">
        <v>167</v>
      </c>
      <c r="C42" s="5" t="n">
        <v>60</v>
      </c>
      <c r="D42" s="2" t="s">
        <v>160</v>
      </c>
      <c r="E42" s="35" t="s">
        <v>168</v>
      </c>
      <c r="F42" s="35" t="s">
        <v>162</v>
      </c>
      <c r="G42" s="2" t="s">
        <v>100</v>
      </c>
      <c r="H42" s="2" t="s">
        <v>68</v>
      </c>
      <c r="I42" s="2" t="s">
        <v>169</v>
      </c>
      <c r="J42" s="1"/>
      <c r="K42" s="1"/>
      <c r="L42" s="1"/>
      <c r="M42" s="1"/>
      <c r="N42" s="1"/>
      <c r="O42" s="1"/>
      <c r="P42" s="1"/>
      <c r="Q42" s="1"/>
    </row>
    <row r="43" customFormat="false" ht="24" hidden="false" customHeight="true" outlineLevel="0" collapsed="false">
      <c r="A43" s="1"/>
      <c r="B43" s="30" t="s">
        <v>170</v>
      </c>
      <c r="C43" s="5" t="n">
        <v>350</v>
      </c>
      <c r="D43" s="31" t="s">
        <v>171</v>
      </c>
      <c r="E43" s="37" t="s">
        <v>172</v>
      </c>
      <c r="F43" s="37" t="s">
        <v>162</v>
      </c>
      <c r="G43" s="31" t="s">
        <v>100</v>
      </c>
      <c r="H43" s="31" t="s">
        <v>68</v>
      </c>
      <c r="I43" s="31" t="s">
        <v>173</v>
      </c>
      <c r="J43" s="1"/>
      <c r="K43" s="1"/>
      <c r="L43" s="1"/>
      <c r="M43" s="1"/>
      <c r="N43" s="1"/>
      <c r="O43" s="1"/>
      <c r="P43" s="1"/>
      <c r="Q43" s="1"/>
    </row>
    <row r="44" customFormat="false" ht="24" hidden="false" customHeight="true" outlineLevel="0" collapsed="false">
      <c r="A44" s="1"/>
      <c r="B44" s="19" t="s">
        <v>174</v>
      </c>
      <c r="C44" s="41" t="s">
        <v>175</v>
      </c>
      <c r="D44" s="2" t="s">
        <v>176</v>
      </c>
      <c r="E44" s="35" t="str">
        <f aca="false">"Lists as "&amp;INDEX('Fee Reference'!$C$34:$C$45,a_fee_cat_idx)&amp;" on Amazon — pick the English category; it sets the referral rate."</f>
        <v>Lists as ビューティ・ヘルス・パーソナルケア on Amazon — pick the English category; it sets the referral rate.</v>
      </c>
      <c r="F44" s="35" t="s">
        <v>177</v>
      </c>
      <c r="G44" s="2" t="s">
        <v>67</v>
      </c>
      <c r="H44" s="2" t="s">
        <v>68</v>
      </c>
      <c r="I44" s="2" t="s">
        <v>178</v>
      </c>
      <c r="J44" s="1"/>
      <c r="K44" s="1"/>
      <c r="L44" s="1"/>
      <c r="M44" s="1"/>
      <c r="N44" s="1"/>
      <c r="O44" s="1"/>
      <c r="P44" s="1"/>
      <c r="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customFormat="false" ht="24" hidden="false" customHeight="true" outlineLevel="0" collapsed="false">
      <c r="A46" s="1"/>
      <c r="B46" s="10" t="s">
        <v>179</v>
      </c>
      <c r="C46" s="10"/>
      <c r="D46" s="10"/>
      <c r="E46" s="10"/>
      <c r="F46" s="10"/>
      <c r="G46" s="10"/>
      <c r="H46" s="10"/>
      <c r="I46" s="10"/>
      <c r="J46" s="1"/>
      <c r="K46" s="1"/>
      <c r="L46" s="1"/>
      <c r="M46" s="1"/>
      <c r="N46" s="1"/>
      <c r="O46" s="1"/>
      <c r="P46" s="1"/>
      <c r="Q46" s="1"/>
    </row>
    <row r="47" customFormat="false" ht="15" hidden="false" customHeight="false" outlineLevel="0" collapsed="false">
      <c r="A47" s="1"/>
      <c r="B47" s="17" t="s">
        <v>55</v>
      </c>
      <c r="C47" s="18" t="s">
        <v>56</v>
      </c>
      <c r="D47" s="18" t="s">
        <v>57</v>
      </c>
      <c r="E47" s="18" t="s">
        <v>58</v>
      </c>
      <c r="F47" s="18" t="s">
        <v>59</v>
      </c>
      <c r="G47" s="18" t="s">
        <v>60</v>
      </c>
      <c r="H47" s="18" t="s">
        <v>61</v>
      </c>
      <c r="I47" s="18" t="s">
        <v>62</v>
      </c>
      <c r="J47" s="1"/>
      <c r="K47" s="1"/>
      <c r="L47" s="1"/>
      <c r="M47" s="1"/>
      <c r="N47" s="1"/>
      <c r="O47" s="1"/>
      <c r="P47" s="1"/>
      <c r="Q47" s="1"/>
    </row>
    <row r="48" customFormat="false" ht="24" hidden="false" customHeight="true" outlineLevel="0" collapsed="false">
      <c r="A48" s="1"/>
      <c r="B48" s="19" t="s">
        <v>180</v>
      </c>
      <c r="C48" s="42" t="n">
        <f aca="false">IF(INDEX(a_scn_asp_jpy,2)&lt;=750,INDEX('Fee Reference'!$D$34:$D$45,a_fee_cat_idx),IF(INDEX(a_scn_asp_jpy,2)&lt;=1500,INDEX('Fee Reference'!$E$34:$E$45,a_fee_cat_idx),INDEX('Fee Reference'!$F$34:$F$45,a_fee_cat_idx)))</f>
        <v>0.104</v>
      </c>
      <c r="D48" s="2" t="s">
        <v>70</v>
      </c>
      <c r="E48" s="35" t="s">
        <v>181</v>
      </c>
      <c r="F48" s="35" t="s">
        <v>182</v>
      </c>
      <c r="G48" s="2" t="s">
        <v>100</v>
      </c>
      <c r="H48" s="2" t="s">
        <v>68</v>
      </c>
      <c r="I48" s="2" t="s">
        <v>183</v>
      </c>
      <c r="J48" s="1"/>
      <c r="K48" s="1"/>
      <c r="L48" s="1"/>
      <c r="M48" s="1"/>
      <c r="N48" s="1"/>
      <c r="O48" s="1"/>
      <c r="P48" s="1"/>
      <c r="Q48" s="1"/>
    </row>
    <row r="49" customFormat="false" ht="24" hidden="false" customHeight="true" outlineLevel="0" collapsed="false">
      <c r="A49" s="1"/>
      <c r="B49" s="30" t="s">
        <v>184</v>
      </c>
      <c r="C49" s="43" t="n">
        <f aca="false">IF(INDEX(a_scn_asp_jpy,2)&lt;=1000,INDEX('Fee Reference'!$J$9:$J$30,a_pkg_tier_idx),INDEX('Fee Reference'!$I$9:$I$30,a_pkg_tier_idx))/(1+a_jct_rate_standard)</f>
        <v>377.272727272727</v>
      </c>
      <c r="D49" s="31" t="s">
        <v>118</v>
      </c>
      <c r="E49" s="37" t="str">
        <f aca="false">"Size tier "&amp;a_pkg_tier_name&amp;" — recomputed from the package dimensions + weight (net of 10% tax)."</f>
        <v>Size tier 標準3 — recomputed from the package dimensions + weight (net of 10% tax).</v>
      </c>
      <c r="F49" s="37" t="s">
        <v>185</v>
      </c>
      <c r="G49" s="31" t="s">
        <v>100</v>
      </c>
      <c r="H49" s="31" t="s">
        <v>68</v>
      </c>
      <c r="I49" s="31" t="s">
        <v>186</v>
      </c>
      <c r="J49" s="1"/>
      <c r="K49" s="1"/>
      <c r="L49" s="1"/>
      <c r="M49" s="1"/>
      <c r="N49" s="1"/>
      <c r="O49" s="1"/>
      <c r="P49" s="1"/>
      <c r="Q49" s="1"/>
    </row>
    <row r="50" customFormat="false" ht="24" hidden="false" customHeight="true" outlineLevel="0" collapsed="false">
      <c r="A50" s="1"/>
      <c r="B50" s="19" t="s">
        <v>187</v>
      </c>
      <c r="C50" s="44" t="n">
        <f aca="false">a_package_length_mm*a_package_width_mm*a_package_height_mm/1000000</f>
        <v>0.648</v>
      </c>
      <c r="D50" s="2" t="s">
        <v>188</v>
      </c>
      <c r="E50" s="35" t="s">
        <v>189</v>
      </c>
      <c r="F50" s="35" t="s">
        <v>190</v>
      </c>
      <c r="G50" s="2" t="s">
        <v>100</v>
      </c>
      <c r="H50" s="2" t="s">
        <v>68</v>
      </c>
      <c r="I50" s="2" t="s">
        <v>191</v>
      </c>
      <c r="J50" s="1"/>
      <c r="K50" s="1"/>
      <c r="L50" s="1"/>
      <c r="M50" s="1"/>
      <c r="N50" s="1"/>
      <c r="O50" s="1"/>
      <c r="P50" s="1"/>
      <c r="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customFormat="false" ht="24" hidden="false" customHeight="true" outlineLevel="0" collapsed="false">
      <c r="A52" s="1"/>
      <c r="B52" s="10" t="s">
        <v>192</v>
      </c>
      <c r="C52" s="10"/>
      <c r="D52" s="10"/>
      <c r="E52" s="10"/>
      <c r="F52" s="10"/>
      <c r="G52" s="10"/>
      <c r="H52" s="10"/>
      <c r="I52" s="10"/>
      <c r="J52" s="1"/>
      <c r="K52" s="1"/>
      <c r="L52" s="1"/>
      <c r="M52" s="1"/>
      <c r="N52" s="1"/>
      <c r="O52" s="1"/>
      <c r="P52" s="1"/>
      <c r="Q52" s="1"/>
    </row>
    <row r="53" customFormat="false" ht="15" hidden="false" customHeight="false" outlineLevel="0" collapsed="false">
      <c r="A53" s="1"/>
      <c r="B53" s="17" t="s">
        <v>55</v>
      </c>
      <c r="C53" s="18" t="s">
        <v>56</v>
      </c>
      <c r="D53" s="18" t="s">
        <v>57</v>
      </c>
      <c r="E53" s="18" t="s">
        <v>58</v>
      </c>
      <c r="F53" s="18" t="s">
        <v>59</v>
      </c>
      <c r="G53" s="18" t="s">
        <v>60</v>
      </c>
      <c r="H53" s="18" t="s">
        <v>61</v>
      </c>
      <c r="I53" s="18" t="s">
        <v>62</v>
      </c>
      <c r="J53" s="1"/>
      <c r="K53" s="1"/>
      <c r="L53" s="1"/>
      <c r="M53" s="1"/>
      <c r="N53" s="1"/>
      <c r="O53" s="1"/>
      <c r="P53" s="1"/>
      <c r="Q53" s="1"/>
    </row>
    <row r="54" customFormat="false" ht="24" hidden="false" customHeight="true" outlineLevel="0" collapsed="false">
      <c r="A54" s="1"/>
      <c r="B54" s="19" t="s">
        <v>193</v>
      </c>
      <c r="C54" s="5" t="n">
        <v>5.16</v>
      </c>
      <c r="D54" s="2" t="s">
        <v>194</v>
      </c>
      <c r="E54" s="35" t="s">
        <v>195</v>
      </c>
      <c r="F54" s="39" t="s">
        <v>196</v>
      </c>
      <c r="G54" s="2" t="s">
        <v>100</v>
      </c>
      <c r="H54" s="2" t="s">
        <v>68</v>
      </c>
      <c r="I54" s="2" t="s">
        <v>197</v>
      </c>
      <c r="J54" s="1"/>
      <c r="K54" s="1"/>
      <c r="L54" s="1"/>
      <c r="M54" s="1"/>
      <c r="N54" s="1"/>
      <c r="O54" s="1"/>
      <c r="P54" s="1"/>
      <c r="Q54" s="1"/>
    </row>
    <row r="55" customFormat="false" ht="24" hidden="false" customHeight="true" outlineLevel="0" collapsed="false">
      <c r="A55" s="1"/>
      <c r="B55" s="30" t="s">
        <v>198</v>
      </c>
      <c r="C55" s="5" t="n">
        <v>9.17</v>
      </c>
      <c r="D55" s="31" t="s">
        <v>194</v>
      </c>
      <c r="E55" s="37" t="s">
        <v>199</v>
      </c>
      <c r="F55" s="38" t="s">
        <v>196</v>
      </c>
      <c r="G55" s="31" t="s">
        <v>100</v>
      </c>
      <c r="H55" s="31" t="s">
        <v>68</v>
      </c>
      <c r="I55" s="31" t="s">
        <v>200</v>
      </c>
      <c r="J55" s="1"/>
      <c r="K55" s="1"/>
      <c r="L55" s="1"/>
      <c r="M55" s="1"/>
      <c r="N55" s="1"/>
      <c r="O55" s="1"/>
      <c r="P55" s="1"/>
      <c r="Q55" s="1"/>
    </row>
    <row r="56" customFormat="false" ht="24" hidden="false" customHeight="true" outlineLevel="0" collapsed="false">
      <c r="A56" s="1"/>
      <c r="B56" s="19" t="s">
        <v>201</v>
      </c>
      <c r="C56" s="36" t="n">
        <v>0.2</v>
      </c>
      <c r="D56" s="2" t="s">
        <v>70</v>
      </c>
      <c r="E56" s="35" t="s">
        <v>202</v>
      </c>
      <c r="F56" s="39" t="s">
        <v>203</v>
      </c>
      <c r="G56" s="2" t="s">
        <v>100</v>
      </c>
      <c r="H56" s="2" t="s">
        <v>68</v>
      </c>
      <c r="I56" s="2" t="s">
        <v>204</v>
      </c>
      <c r="J56" s="1"/>
      <c r="K56" s="1"/>
      <c r="L56" s="1"/>
      <c r="M56" s="1"/>
      <c r="N56" s="1"/>
      <c r="O56" s="1"/>
      <c r="P56" s="1"/>
      <c r="Q56" s="1"/>
    </row>
    <row r="57" customFormat="false" ht="24" hidden="false" customHeight="true" outlineLevel="0" collapsed="false">
      <c r="A57" s="1"/>
      <c r="B57" s="30" t="s">
        <v>205</v>
      </c>
      <c r="C57" s="40" t="n">
        <v>500</v>
      </c>
      <c r="D57" s="31" t="s">
        <v>118</v>
      </c>
      <c r="E57" s="37" t="s">
        <v>206</v>
      </c>
      <c r="F57" s="37" t="s">
        <v>207</v>
      </c>
      <c r="G57" s="31" t="s">
        <v>100</v>
      </c>
      <c r="H57" s="31" t="s">
        <v>68</v>
      </c>
      <c r="I57" s="31" t="s">
        <v>208</v>
      </c>
      <c r="J57" s="1"/>
      <c r="K57" s="1"/>
      <c r="L57" s="1"/>
      <c r="M57" s="1"/>
      <c r="N57" s="1"/>
      <c r="O57" s="1"/>
      <c r="P57" s="1"/>
      <c r="Q57" s="1"/>
    </row>
    <row r="58" customFormat="false" ht="24" hidden="false" customHeight="true" outlineLevel="0" collapsed="false">
      <c r="A58" s="1"/>
      <c r="B58" s="19" t="s">
        <v>209</v>
      </c>
      <c r="C58" s="36" t="n">
        <v>0.1</v>
      </c>
      <c r="D58" s="2" t="s">
        <v>70</v>
      </c>
      <c r="E58" s="35" t="s">
        <v>210</v>
      </c>
      <c r="F58" s="35" t="s">
        <v>211</v>
      </c>
      <c r="G58" s="2" t="s">
        <v>100</v>
      </c>
      <c r="H58" s="2" t="s">
        <v>68</v>
      </c>
      <c r="I58" s="2" t="s">
        <v>212</v>
      </c>
      <c r="J58" s="1"/>
      <c r="K58" s="1"/>
      <c r="L58" s="1"/>
      <c r="M58" s="1"/>
      <c r="N58" s="1"/>
      <c r="O58" s="1"/>
      <c r="P58" s="1"/>
      <c r="Q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customFormat="false" ht="24" hidden="false" customHeight="true" outlineLevel="0" collapsed="false">
      <c r="A60" s="1"/>
      <c r="B60" s="10" t="s">
        <v>213</v>
      </c>
      <c r="C60" s="10"/>
      <c r="D60" s="10"/>
      <c r="E60" s="10"/>
      <c r="F60" s="10"/>
      <c r="G60" s="10"/>
      <c r="H60" s="10"/>
      <c r="I60" s="10"/>
      <c r="J60" s="1"/>
      <c r="K60" s="1"/>
      <c r="L60" s="1"/>
      <c r="M60" s="1"/>
      <c r="N60" s="1"/>
      <c r="O60" s="1"/>
      <c r="P60" s="1"/>
      <c r="Q60" s="1"/>
    </row>
    <row r="61" customFormat="false" ht="15" hidden="false" customHeight="false" outlineLevel="0" collapsed="false">
      <c r="A61" s="1"/>
      <c r="B61" s="17" t="s">
        <v>55</v>
      </c>
      <c r="C61" s="18" t="s">
        <v>56</v>
      </c>
      <c r="D61" s="18" t="s">
        <v>57</v>
      </c>
      <c r="E61" s="18" t="s">
        <v>58</v>
      </c>
      <c r="F61" s="18" t="s">
        <v>59</v>
      </c>
      <c r="G61" s="18" t="s">
        <v>60</v>
      </c>
      <c r="H61" s="18" t="s">
        <v>61</v>
      </c>
      <c r="I61" s="18" t="s">
        <v>62</v>
      </c>
      <c r="J61" s="1"/>
      <c r="K61" s="1"/>
      <c r="L61" s="1"/>
      <c r="M61" s="1"/>
      <c r="N61" s="1"/>
      <c r="O61" s="1"/>
      <c r="P61" s="1"/>
      <c r="Q61" s="1"/>
    </row>
    <row r="62" customFormat="false" ht="24" hidden="false" customHeight="true" outlineLevel="0" collapsed="false">
      <c r="A62" s="1"/>
      <c r="B62" s="19" t="s">
        <v>214</v>
      </c>
      <c r="C62" s="36" t="n">
        <v>0.25</v>
      </c>
      <c r="D62" s="2" t="s">
        <v>70</v>
      </c>
      <c r="E62" s="35" t="s">
        <v>215</v>
      </c>
      <c r="F62" s="39" t="s">
        <v>216</v>
      </c>
      <c r="G62" s="2" t="s">
        <v>73</v>
      </c>
      <c r="H62" s="2" t="s">
        <v>68</v>
      </c>
      <c r="I62" s="2" t="s">
        <v>217</v>
      </c>
      <c r="J62" s="1"/>
      <c r="K62" s="1"/>
      <c r="L62" s="1"/>
      <c r="M62" s="1"/>
      <c r="N62" s="1"/>
      <c r="O62" s="1"/>
      <c r="P62" s="1"/>
      <c r="Q62" s="1"/>
    </row>
    <row r="63" customFormat="false" ht="24" hidden="false" customHeight="true" outlineLevel="0" collapsed="false">
      <c r="A63" s="1"/>
      <c r="B63" s="30" t="s">
        <v>218</v>
      </c>
      <c r="C63" s="36" t="n">
        <v>0.15</v>
      </c>
      <c r="D63" s="31" t="s">
        <v>70</v>
      </c>
      <c r="E63" s="37" t="s">
        <v>219</v>
      </c>
      <c r="F63" s="37" t="s">
        <v>220</v>
      </c>
      <c r="G63" s="31" t="s">
        <v>73</v>
      </c>
      <c r="H63" s="31" t="s">
        <v>68</v>
      </c>
      <c r="I63" s="31" t="s">
        <v>221</v>
      </c>
      <c r="J63" s="1"/>
      <c r="K63" s="1"/>
      <c r="L63" s="1"/>
      <c r="M63" s="1"/>
      <c r="N63" s="1"/>
      <c r="O63" s="1"/>
      <c r="P63" s="1"/>
      <c r="Q63" s="1"/>
    </row>
    <row r="64" customFormat="false" ht="24" hidden="false" customHeight="true" outlineLevel="0" collapsed="false">
      <c r="A64" s="1"/>
      <c r="B64" s="19" t="s">
        <v>222</v>
      </c>
      <c r="C64" s="36" t="n">
        <v>0.12</v>
      </c>
      <c r="D64" s="2" t="s">
        <v>70</v>
      </c>
      <c r="E64" s="35" t="s">
        <v>223</v>
      </c>
      <c r="F64" s="35" t="s">
        <v>220</v>
      </c>
      <c r="G64" s="2" t="s">
        <v>73</v>
      </c>
      <c r="H64" s="2" t="s">
        <v>68</v>
      </c>
      <c r="I64" s="2" t="s">
        <v>224</v>
      </c>
      <c r="J64" s="1"/>
      <c r="K64" s="1"/>
      <c r="L64" s="1"/>
      <c r="M64" s="1"/>
      <c r="N64" s="1"/>
      <c r="O64" s="1"/>
      <c r="P64" s="1"/>
      <c r="Q64" s="1"/>
    </row>
    <row r="65" customFormat="false" ht="24" hidden="false" customHeight="true" outlineLevel="0" collapsed="false">
      <c r="A65" s="1"/>
      <c r="B65" s="30" t="s">
        <v>225</v>
      </c>
      <c r="C65" s="36" t="n">
        <v>0.1</v>
      </c>
      <c r="D65" s="31" t="s">
        <v>70</v>
      </c>
      <c r="E65" s="37" t="s">
        <v>226</v>
      </c>
      <c r="F65" s="37" t="s">
        <v>220</v>
      </c>
      <c r="G65" s="31" t="s">
        <v>73</v>
      </c>
      <c r="H65" s="31" t="s">
        <v>68</v>
      </c>
      <c r="I65" s="31" t="s">
        <v>227</v>
      </c>
      <c r="J65" s="1"/>
      <c r="K65" s="1"/>
      <c r="L65" s="1"/>
      <c r="M65" s="1"/>
      <c r="N65" s="1"/>
      <c r="O65" s="1"/>
      <c r="P65" s="1"/>
      <c r="Q65" s="1"/>
    </row>
    <row r="66" customFormat="false" ht="24" hidden="false" customHeight="true" outlineLevel="0" collapsed="false">
      <c r="A66" s="1"/>
      <c r="B66" s="19" t="s">
        <v>228</v>
      </c>
      <c r="C66" s="40" t="n">
        <v>30000</v>
      </c>
      <c r="D66" s="2" t="s">
        <v>118</v>
      </c>
      <c r="E66" s="35" t="s">
        <v>229</v>
      </c>
      <c r="F66" s="35" t="s">
        <v>230</v>
      </c>
      <c r="G66" s="2" t="s">
        <v>73</v>
      </c>
      <c r="H66" s="2" t="s">
        <v>68</v>
      </c>
      <c r="I66" s="2" t="s">
        <v>231</v>
      </c>
      <c r="J66" s="1"/>
      <c r="K66" s="1"/>
      <c r="L66" s="1"/>
      <c r="M66" s="1"/>
      <c r="N66" s="1"/>
      <c r="O66" s="1"/>
      <c r="P66" s="1"/>
      <c r="Q66" s="1"/>
    </row>
    <row r="67" customFormat="false" ht="24" hidden="false" customHeight="true" outlineLevel="0" collapsed="false">
      <c r="A67" s="1"/>
      <c r="B67" s="30" t="s">
        <v>232</v>
      </c>
      <c r="C67" s="40" t="n">
        <v>0</v>
      </c>
      <c r="D67" s="31" t="s">
        <v>118</v>
      </c>
      <c r="E67" s="37" t="s">
        <v>233</v>
      </c>
      <c r="F67" s="37" t="s">
        <v>234</v>
      </c>
      <c r="G67" s="31" t="s">
        <v>73</v>
      </c>
      <c r="H67" s="31" t="s">
        <v>68</v>
      </c>
      <c r="I67" s="31" t="s">
        <v>235</v>
      </c>
      <c r="J67" s="1"/>
      <c r="K67" s="1"/>
      <c r="L67" s="1"/>
      <c r="M67" s="1"/>
      <c r="N67" s="1"/>
      <c r="O67" s="1"/>
      <c r="P67" s="1"/>
      <c r="Q67" s="1"/>
    </row>
    <row r="68" customFormat="false" ht="24" hidden="false" customHeight="true" outlineLevel="0" collapsed="false">
      <c r="A68" s="1"/>
      <c r="B68" s="19" t="s">
        <v>236</v>
      </c>
      <c r="C68" s="40" t="n">
        <v>20000</v>
      </c>
      <c r="D68" s="2" t="s">
        <v>118</v>
      </c>
      <c r="E68" s="35" t="s">
        <v>237</v>
      </c>
      <c r="F68" s="35" t="s">
        <v>238</v>
      </c>
      <c r="G68" s="2" t="s">
        <v>73</v>
      </c>
      <c r="H68" s="2" t="s">
        <v>68</v>
      </c>
      <c r="I68" s="2" t="s">
        <v>239</v>
      </c>
      <c r="J68" s="1"/>
      <c r="K68" s="1"/>
      <c r="L68" s="1"/>
      <c r="M68" s="1"/>
      <c r="N68" s="1"/>
      <c r="O68" s="1"/>
      <c r="P68" s="1"/>
      <c r="Q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customFormat="false" ht="24" hidden="false" customHeight="true" outlineLevel="0" collapsed="false">
      <c r="A70" s="1"/>
      <c r="B70" s="10" t="s">
        <v>240</v>
      </c>
      <c r="C70" s="10"/>
      <c r="D70" s="10"/>
      <c r="E70" s="10"/>
      <c r="F70" s="10"/>
      <c r="G70" s="10"/>
      <c r="H70" s="10"/>
      <c r="I70" s="10"/>
      <c r="J70" s="1"/>
      <c r="K70" s="1"/>
      <c r="L70" s="1"/>
      <c r="M70" s="1"/>
      <c r="N70" s="1"/>
      <c r="O70" s="1"/>
      <c r="P70" s="1"/>
      <c r="Q70" s="1"/>
    </row>
    <row r="71" customFormat="false" ht="15" hidden="false" customHeight="false" outlineLevel="0" collapsed="false">
      <c r="A71" s="1"/>
      <c r="B71" s="17" t="s">
        <v>55</v>
      </c>
      <c r="C71" s="18" t="s">
        <v>56</v>
      </c>
      <c r="D71" s="18" t="s">
        <v>57</v>
      </c>
      <c r="E71" s="18" t="s">
        <v>58</v>
      </c>
      <c r="F71" s="18" t="s">
        <v>59</v>
      </c>
      <c r="G71" s="18" t="s">
        <v>60</v>
      </c>
      <c r="H71" s="18" t="s">
        <v>61</v>
      </c>
      <c r="I71" s="18" t="s">
        <v>62</v>
      </c>
      <c r="J71" s="1"/>
      <c r="K71" s="1"/>
      <c r="L71" s="1"/>
      <c r="M71" s="1"/>
      <c r="N71" s="1"/>
      <c r="O71" s="1"/>
      <c r="P71" s="1"/>
      <c r="Q71" s="1"/>
    </row>
    <row r="72" customFormat="false" ht="24" hidden="false" customHeight="true" outlineLevel="0" collapsed="false">
      <c r="A72" s="1"/>
      <c r="B72" s="19" t="s">
        <v>241</v>
      </c>
      <c r="C72" s="40" t="n">
        <v>4900</v>
      </c>
      <c r="D72" s="2" t="s">
        <v>118</v>
      </c>
      <c r="E72" s="35" t="s">
        <v>242</v>
      </c>
      <c r="F72" s="39" t="s">
        <v>243</v>
      </c>
      <c r="G72" s="2" t="s">
        <v>100</v>
      </c>
      <c r="H72" s="2" t="s">
        <v>68</v>
      </c>
      <c r="I72" s="2" t="s">
        <v>244</v>
      </c>
      <c r="J72" s="1"/>
      <c r="K72" s="1"/>
      <c r="L72" s="1"/>
      <c r="M72" s="1"/>
      <c r="N72" s="1"/>
      <c r="O72" s="1"/>
      <c r="P72" s="1"/>
      <c r="Q72" s="1"/>
    </row>
    <row r="73" customFormat="false" ht="24" hidden="false" customHeight="true" outlineLevel="0" collapsed="false">
      <c r="A73" s="1"/>
      <c r="B73" s="30" t="s">
        <v>245</v>
      </c>
      <c r="C73" s="40" t="n">
        <v>3000</v>
      </c>
      <c r="D73" s="31" t="s">
        <v>118</v>
      </c>
      <c r="E73" s="37" t="s">
        <v>246</v>
      </c>
      <c r="F73" s="38" t="s">
        <v>247</v>
      </c>
      <c r="G73" s="31" t="s">
        <v>67</v>
      </c>
      <c r="H73" s="31" t="s">
        <v>68</v>
      </c>
      <c r="I73" s="31" t="s">
        <v>248</v>
      </c>
      <c r="J73" s="1"/>
      <c r="K73" s="1"/>
      <c r="L73" s="1"/>
      <c r="M73" s="1"/>
      <c r="N73" s="1"/>
      <c r="O73" s="1"/>
      <c r="P73" s="1"/>
      <c r="Q73" s="1"/>
    </row>
    <row r="74" customFormat="false" ht="24" hidden="false" customHeight="true" outlineLevel="0" collapsed="false">
      <c r="A74" s="1"/>
      <c r="B74" s="19" t="s">
        <v>249</v>
      </c>
      <c r="C74" s="5" t="n">
        <v>1</v>
      </c>
      <c r="D74" s="2" t="s">
        <v>250</v>
      </c>
      <c r="E74" s="35" t="s">
        <v>251</v>
      </c>
      <c r="F74" s="35" t="s">
        <v>252</v>
      </c>
      <c r="G74" s="2" t="s">
        <v>67</v>
      </c>
      <c r="H74" s="2" t="s">
        <v>68</v>
      </c>
      <c r="I74" s="2" t="s">
        <v>253</v>
      </c>
      <c r="J74" s="1"/>
      <c r="K74" s="1"/>
      <c r="L74" s="1"/>
      <c r="M74" s="1"/>
      <c r="N74" s="1"/>
      <c r="O74" s="1"/>
      <c r="P74" s="1"/>
      <c r="Q74" s="1"/>
    </row>
    <row r="75" customFormat="false" ht="24" hidden="false" customHeight="true" outlineLevel="0" collapsed="false">
      <c r="A75" s="1"/>
      <c r="B75" s="30" t="s">
        <v>254</v>
      </c>
      <c r="C75" s="5" t="s">
        <v>255</v>
      </c>
      <c r="D75" s="31" t="s">
        <v>256</v>
      </c>
      <c r="E75" s="37" t="s">
        <v>257</v>
      </c>
      <c r="F75" s="37" t="s">
        <v>258</v>
      </c>
      <c r="G75" s="31" t="s">
        <v>100</v>
      </c>
      <c r="H75" s="31" t="s">
        <v>68</v>
      </c>
      <c r="I75" s="31" t="s">
        <v>259</v>
      </c>
      <c r="J75" s="1"/>
      <c r="K75" s="1"/>
      <c r="L75" s="1"/>
      <c r="M75" s="1"/>
      <c r="N75" s="1"/>
      <c r="O75" s="1"/>
      <c r="P75" s="1"/>
      <c r="Q75" s="1"/>
    </row>
    <row r="76" customFormat="false" ht="24" hidden="false" customHeight="true" outlineLevel="0" collapsed="false">
      <c r="A76" s="1"/>
      <c r="B76" s="19" t="s">
        <v>260</v>
      </c>
      <c r="C76" s="40" t="n">
        <v>70000</v>
      </c>
      <c r="D76" s="2" t="s">
        <v>118</v>
      </c>
      <c r="E76" s="35" t="s">
        <v>261</v>
      </c>
      <c r="F76" s="39" t="s">
        <v>262</v>
      </c>
      <c r="G76" s="2" t="s">
        <v>73</v>
      </c>
      <c r="H76" s="2" t="s">
        <v>68</v>
      </c>
      <c r="I76" s="2" t="s">
        <v>263</v>
      </c>
      <c r="J76" s="1"/>
      <c r="K76" s="1"/>
      <c r="L76" s="1"/>
      <c r="M76" s="1"/>
      <c r="N76" s="1"/>
      <c r="O76" s="1"/>
      <c r="P76" s="1"/>
      <c r="Q76" s="1"/>
    </row>
    <row r="77" customFormat="false" ht="24" hidden="false" customHeight="true" outlineLevel="0" collapsed="false">
      <c r="A77" s="1"/>
      <c r="B77" s="30" t="s">
        <v>264</v>
      </c>
      <c r="C77" s="36" t="n">
        <v>0</v>
      </c>
      <c r="D77" s="31" t="s">
        <v>70</v>
      </c>
      <c r="E77" s="37" t="s">
        <v>265</v>
      </c>
      <c r="F77" s="37" t="s">
        <v>258</v>
      </c>
      <c r="G77" s="31" t="s">
        <v>100</v>
      </c>
      <c r="H77" s="31" t="s">
        <v>68</v>
      </c>
      <c r="I77" s="31" t="s">
        <v>266</v>
      </c>
      <c r="J77" s="1"/>
      <c r="K77" s="1"/>
      <c r="L77" s="1"/>
      <c r="M77" s="1"/>
      <c r="N77" s="1"/>
      <c r="O77" s="1"/>
      <c r="P77" s="1"/>
      <c r="Q77" s="1"/>
    </row>
    <row r="78" customFormat="false" ht="24" hidden="false" customHeight="true" outlineLevel="0" collapsed="false">
      <c r="A78" s="1"/>
      <c r="B78" s="19" t="s">
        <v>267</v>
      </c>
      <c r="C78" s="5" t="n">
        <v>1</v>
      </c>
      <c r="D78" s="2" t="s">
        <v>92</v>
      </c>
      <c r="E78" s="35" t="s">
        <v>268</v>
      </c>
      <c r="F78" s="35" t="s">
        <v>269</v>
      </c>
      <c r="G78" s="2" t="s">
        <v>100</v>
      </c>
      <c r="H78" s="2" t="s">
        <v>68</v>
      </c>
      <c r="I78" s="2" t="s">
        <v>270</v>
      </c>
      <c r="J78" s="1"/>
      <c r="K78" s="1"/>
      <c r="L78" s="1"/>
      <c r="M78" s="1"/>
      <c r="N78" s="1"/>
      <c r="O78" s="1"/>
      <c r="P78" s="1"/>
      <c r="Q78" s="1"/>
    </row>
    <row r="79" customFormat="false" ht="24" hidden="false" customHeight="true" outlineLevel="0" collapsed="false">
      <c r="A79" s="1"/>
      <c r="B79" s="30" t="s">
        <v>271</v>
      </c>
      <c r="C79" s="36" t="n">
        <v>0</v>
      </c>
      <c r="D79" s="31" t="s">
        <v>70</v>
      </c>
      <c r="E79" s="37" t="s">
        <v>272</v>
      </c>
      <c r="F79" s="37" t="s">
        <v>269</v>
      </c>
      <c r="G79" s="31" t="s">
        <v>100</v>
      </c>
      <c r="H79" s="31" t="s">
        <v>68</v>
      </c>
      <c r="I79" s="31" t="s">
        <v>273</v>
      </c>
      <c r="J79" s="1"/>
      <c r="K79" s="1"/>
      <c r="L79" s="1"/>
      <c r="M79" s="1"/>
      <c r="N79" s="1"/>
      <c r="O79" s="1"/>
      <c r="P79" s="1"/>
      <c r="Q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customFormat="false" ht="24" hidden="false" customHeight="true" outlineLevel="0" collapsed="false">
      <c r="A81" s="1"/>
      <c r="B81" s="10" t="s">
        <v>274</v>
      </c>
      <c r="C81" s="10"/>
      <c r="D81" s="10"/>
      <c r="E81" s="10"/>
      <c r="F81" s="10"/>
      <c r="G81" s="10"/>
      <c r="H81" s="10"/>
      <c r="I81" s="10"/>
      <c r="J81" s="1"/>
      <c r="K81" s="1"/>
      <c r="L81" s="1"/>
      <c r="M81" s="1"/>
      <c r="N81" s="1"/>
      <c r="O81" s="1"/>
      <c r="P81" s="1"/>
      <c r="Q81" s="1"/>
    </row>
    <row r="82" customFormat="false" ht="15" hidden="false" customHeight="false" outlineLevel="0" collapsed="false">
      <c r="A82" s="1"/>
      <c r="B82" s="17" t="s">
        <v>55</v>
      </c>
      <c r="C82" s="18" t="s">
        <v>56</v>
      </c>
      <c r="D82" s="18" t="s">
        <v>57</v>
      </c>
      <c r="E82" s="18" t="s">
        <v>58</v>
      </c>
      <c r="F82" s="18" t="s">
        <v>59</v>
      </c>
      <c r="G82" s="18" t="s">
        <v>60</v>
      </c>
      <c r="H82" s="18" t="s">
        <v>61</v>
      </c>
      <c r="I82" s="18" t="s">
        <v>62</v>
      </c>
      <c r="J82" s="1"/>
      <c r="K82" s="1"/>
      <c r="L82" s="1"/>
      <c r="M82" s="1"/>
      <c r="N82" s="1"/>
      <c r="O82" s="1"/>
      <c r="P82" s="1"/>
      <c r="Q82" s="1"/>
    </row>
    <row r="83" customFormat="false" ht="24" hidden="false" customHeight="true" outlineLevel="0" collapsed="false">
      <c r="A83" s="1"/>
      <c r="B83" s="19" t="s">
        <v>275</v>
      </c>
      <c r="C83" s="40" t="n">
        <v>50000</v>
      </c>
      <c r="D83" s="2" t="s">
        <v>118</v>
      </c>
      <c r="E83" s="35" t="s">
        <v>276</v>
      </c>
      <c r="F83" s="35" t="s">
        <v>277</v>
      </c>
      <c r="G83" s="2" t="s">
        <v>73</v>
      </c>
      <c r="H83" s="2" t="s">
        <v>68</v>
      </c>
      <c r="I83" s="2" t="s">
        <v>278</v>
      </c>
      <c r="J83" s="1"/>
      <c r="K83" s="1"/>
      <c r="L83" s="1"/>
      <c r="M83" s="1"/>
      <c r="N83" s="1"/>
      <c r="O83" s="1"/>
      <c r="P83" s="1"/>
      <c r="Q83" s="1"/>
    </row>
    <row r="84" customFormat="false" ht="24" hidden="false" customHeight="true" outlineLevel="0" collapsed="false">
      <c r="A84" s="1"/>
      <c r="B84" s="30" t="s">
        <v>279</v>
      </c>
      <c r="C84" s="40" t="n">
        <v>150000</v>
      </c>
      <c r="D84" s="31" t="s">
        <v>118</v>
      </c>
      <c r="E84" s="37" t="s">
        <v>280</v>
      </c>
      <c r="F84" s="37" t="s">
        <v>281</v>
      </c>
      <c r="G84" s="31" t="s">
        <v>73</v>
      </c>
      <c r="H84" s="31" t="s">
        <v>68</v>
      </c>
      <c r="I84" s="31" t="s">
        <v>282</v>
      </c>
      <c r="J84" s="1"/>
      <c r="K84" s="1"/>
      <c r="L84" s="1"/>
      <c r="M84" s="1"/>
      <c r="N84" s="1"/>
      <c r="O84" s="1"/>
      <c r="P84" s="1"/>
      <c r="Q84" s="1"/>
    </row>
    <row r="85" customFormat="false" ht="24" hidden="false" customHeight="true" outlineLevel="0" collapsed="false">
      <c r="A85" s="1"/>
      <c r="B85" s="19" t="s">
        <v>283</v>
      </c>
      <c r="C85" s="40" t="n">
        <v>150000</v>
      </c>
      <c r="D85" s="2" t="s">
        <v>118</v>
      </c>
      <c r="E85" s="35" t="s">
        <v>284</v>
      </c>
      <c r="F85" s="39" t="s">
        <v>285</v>
      </c>
      <c r="G85" s="2" t="s">
        <v>67</v>
      </c>
      <c r="H85" s="2" t="s">
        <v>68</v>
      </c>
      <c r="I85" s="2" t="s">
        <v>286</v>
      </c>
      <c r="J85" s="1"/>
      <c r="K85" s="1"/>
      <c r="L85" s="1"/>
      <c r="M85" s="1"/>
      <c r="N85" s="1"/>
      <c r="O85" s="1"/>
      <c r="P85" s="1"/>
      <c r="Q85" s="1"/>
    </row>
    <row r="86" customFormat="false" ht="24" hidden="false" customHeight="true" outlineLevel="0" collapsed="false">
      <c r="A86" s="1"/>
      <c r="B86" s="30" t="s">
        <v>287</v>
      </c>
      <c r="C86" s="40" t="n">
        <v>22000</v>
      </c>
      <c r="D86" s="31" t="s">
        <v>118</v>
      </c>
      <c r="E86" s="37" t="s">
        <v>288</v>
      </c>
      <c r="F86" s="38" t="s">
        <v>289</v>
      </c>
      <c r="G86" s="31" t="s">
        <v>100</v>
      </c>
      <c r="H86" s="31" t="s">
        <v>68</v>
      </c>
      <c r="I86" s="31" t="s">
        <v>290</v>
      </c>
      <c r="J86" s="1"/>
      <c r="K86" s="1"/>
      <c r="L86" s="1"/>
      <c r="M86" s="1"/>
      <c r="N86" s="1"/>
      <c r="O86" s="1"/>
      <c r="P86" s="1"/>
      <c r="Q86" s="1"/>
    </row>
    <row r="87" customFormat="false" ht="24" hidden="false" customHeight="true" outlineLevel="0" collapsed="false">
      <c r="A87" s="1"/>
      <c r="B87" s="19" t="s">
        <v>291</v>
      </c>
      <c r="C87" s="40" t="n">
        <v>100000</v>
      </c>
      <c r="D87" s="2" t="s">
        <v>118</v>
      </c>
      <c r="E87" s="35" t="s">
        <v>292</v>
      </c>
      <c r="F87" s="35" t="s">
        <v>293</v>
      </c>
      <c r="G87" s="2" t="s">
        <v>73</v>
      </c>
      <c r="H87" s="2" t="s">
        <v>68</v>
      </c>
      <c r="I87" s="2" t="s">
        <v>294</v>
      </c>
      <c r="J87" s="1"/>
      <c r="K87" s="1"/>
      <c r="L87" s="1"/>
      <c r="M87" s="1"/>
      <c r="N87" s="1"/>
      <c r="O87" s="1"/>
      <c r="P87" s="1"/>
      <c r="Q87" s="1"/>
    </row>
    <row r="88" customFormat="false" ht="24" hidden="false" customHeight="true" outlineLevel="0" collapsed="false">
      <c r="A88" s="1"/>
      <c r="B88" s="30" t="s">
        <v>295</v>
      </c>
      <c r="C88" s="40" t="n">
        <v>0</v>
      </c>
      <c r="D88" s="31" t="s">
        <v>118</v>
      </c>
      <c r="E88" s="37" t="s">
        <v>296</v>
      </c>
      <c r="F88" s="37" t="s">
        <v>297</v>
      </c>
      <c r="G88" s="31" t="s">
        <v>73</v>
      </c>
      <c r="H88" s="31" t="s">
        <v>68</v>
      </c>
      <c r="I88" s="31" t="s">
        <v>298</v>
      </c>
      <c r="J88" s="1"/>
      <c r="K88" s="1"/>
      <c r="L88" s="1"/>
      <c r="M88" s="1"/>
      <c r="N88" s="1"/>
      <c r="O88" s="1"/>
      <c r="P88" s="1"/>
      <c r="Q88" s="1"/>
    </row>
    <row r="89" customFormat="false" ht="24" hidden="false" customHeight="true" outlineLevel="0" collapsed="false">
      <c r="A89" s="1"/>
      <c r="B89" s="19" t="s">
        <v>299</v>
      </c>
      <c r="C89" s="36" t="n">
        <v>0.1</v>
      </c>
      <c r="D89" s="2" t="s">
        <v>70</v>
      </c>
      <c r="E89" s="35" t="s">
        <v>300</v>
      </c>
      <c r="F89" s="35" t="s">
        <v>301</v>
      </c>
      <c r="G89" s="2" t="s">
        <v>67</v>
      </c>
      <c r="H89" s="2" t="s">
        <v>68</v>
      </c>
      <c r="I89" s="2" t="s">
        <v>302</v>
      </c>
      <c r="J89" s="1"/>
      <c r="K89" s="1"/>
      <c r="L89" s="1"/>
      <c r="M89" s="1"/>
      <c r="N89" s="1"/>
      <c r="O89" s="1"/>
      <c r="P89" s="1"/>
      <c r="Q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customFormat="false" ht="24" hidden="false" customHeight="true" outlineLevel="0" collapsed="false">
      <c r="A91" s="1"/>
      <c r="B91" s="10" t="s">
        <v>303</v>
      </c>
      <c r="C91" s="10"/>
      <c r="D91" s="10"/>
      <c r="E91" s="10"/>
      <c r="F91" s="10"/>
      <c r="G91" s="10"/>
      <c r="H91" s="10"/>
      <c r="I91" s="10"/>
      <c r="J91" s="1"/>
      <c r="K91" s="1"/>
      <c r="L91" s="1"/>
      <c r="M91" s="1"/>
      <c r="N91" s="1"/>
      <c r="O91" s="1"/>
      <c r="P91" s="1"/>
      <c r="Q91" s="1"/>
    </row>
    <row r="92" customFormat="false" ht="15" hidden="false" customHeight="false" outlineLevel="0" collapsed="false">
      <c r="A92" s="1"/>
      <c r="B92" s="17" t="s">
        <v>55</v>
      </c>
      <c r="C92" s="18" t="s">
        <v>56</v>
      </c>
      <c r="D92" s="18" t="s">
        <v>57</v>
      </c>
      <c r="E92" s="18" t="s">
        <v>58</v>
      </c>
      <c r="F92" s="18" t="s">
        <v>59</v>
      </c>
      <c r="G92" s="18" t="s">
        <v>60</v>
      </c>
      <c r="H92" s="18" t="s">
        <v>61</v>
      </c>
      <c r="I92" s="18" t="s">
        <v>62</v>
      </c>
      <c r="J92" s="1"/>
      <c r="K92" s="1"/>
      <c r="L92" s="1"/>
      <c r="M92" s="1"/>
      <c r="N92" s="1"/>
      <c r="O92" s="1"/>
      <c r="P92" s="1"/>
      <c r="Q92" s="1"/>
    </row>
    <row r="93" customFormat="false" ht="24" hidden="false" customHeight="true" outlineLevel="0" collapsed="false">
      <c r="A93" s="1"/>
      <c r="B93" s="19" t="s">
        <v>304</v>
      </c>
      <c r="C93" s="5" t="n">
        <v>30</v>
      </c>
      <c r="D93" s="2" t="s">
        <v>305</v>
      </c>
      <c r="E93" s="35" t="s">
        <v>306</v>
      </c>
      <c r="F93" s="35" t="s">
        <v>307</v>
      </c>
      <c r="G93" s="2" t="s">
        <v>73</v>
      </c>
      <c r="H93" s="2" t="s">
        <v>68</v>
      </c>
      <c r="I93" s="2" t="s">
        <v>308</v>
      </c>
      <c r="J93" s="1"/>
      <c r="K93" s="1"/>
      <c r="L93" s="1"/>
      <c r="M93" s="1"/>
      <c r="N93" s="1"/>
      <c r="O93" s="1"/>
      <c r="P93" s="1"/>
      <c r="Q93" s="1"/>
    </row>
    <row r="94" customFormat="false" ht="24" hidden="false" customHeight="true" outlineLevel="0" collapsed="false">
      <c r="A94" s="1"/>
      <c r="B94" s="30" t="s">
        <v>309</v>
      </c>
      <c r="C94" s="5" t="n">
        <v>7</v>
      </c>
      <c r="D94" s="31" t="s">
        <v>305</v>
      </c>
      <c r="E94" s="37" t="s">
        <v>310</v>
      </c>
      <c r="F94" s="37" t="s">
        <v>311</v>
      </c>
      <c r="G94" s="31" t="s">
        <v>67</v>
      </c>
      <c r="H94" s="31" t="s">
        <v>68</v>
      </c>
      <c r="I94" s="31" t="s">
        <v>312</v>
      </c>
      <c r="J94" s="1"/>
      <c r="K94" s="1"/>
      <c r="L94" s="1"/>
      <c r="M94" s="1"/>
      <c r="N94" s="1"/>
      <c r="O94" s="1"/>
      <c r="P94" s="1"/>
      <c r="Q94" s="1"/>
    </row>
    <row r="95" customFormat="false" ht="24" hidden="false" customHeight="true" outlineLevel="0" collapsed="false">
      <c r="A95" s="1"/>
      <c r="B95" s="19" t="s">
        <v>313</v>
      </c>
      <c r="C95" s="5" t="n">
        <v>60</v>
      </c>
      <c r="D95" s="2" t="s">
        <v>305</v>
      </c>
      <c r="E95" s="35" t="s">
        <v>314</v>
      </c>
      <c r="F95" s="35" t="s">
        <v>315</v>
      </c>
      <c r="G95" s="2" t="s">
        <v>67</v>
      </c>
      <c r="H95" s="2" t="s">
        <v>68</v>
      </c>
      <c r="I95" s="2" t="s">
        <v>316</v>
      </c>
      <c r="J95" s="1"/>
      <c r="K95" s="1"/>
      <c r="L95" s="1"/>
      <c r="M95" s="1"/>
      <c r="N95" s="1"/>
      <c r="O95" s="1"/>
      <c r="P95" s="1"/>
      <c r="Q95" s="1"/>
    </row>
    <row r="96" customFormat="false" ht="24" hidden="false" customHeight="true" outlineLevel="0" collapsed="false">
      <c r="A96" s="1"/>
      <c r="B96" s="30" t="s">
        <v>317</v>
      </c>
      <c r="C96" s="5" t="n">
        <v>14</v>
      </c>
      <c r="D96" s="31" t="s">
        <v>305</v>
      </c>
      <c r="E96" s="37" t="s">
        <v>318</v>
      </c>
      <c r="F96" s="38" t="s">
        <v>319</v>
      </c>
      <c r="G96" s="31" t="s">
        <v>100</v>
      </c>
      <c r="H96" s="31" t="s">
        <v>68</v>
      </c>
      <c r="I96" s="31" t="s">
        <v>320</v>
      </c>
      <c r="J96" s="1"/>
      <c r="K96" s="1"/>
      <c r="L96" s="1"/>
      <c r="M96" s="1"/>
      <c r="N96" s="1"/>
      <c r="O96" s="1"/>
      <c r="P96" s="1"/>
      <c r="Q96" s="1"/>
    </row>
    <row r="97" customFormat="false" ht="24" hidden="false" customHeight="true" outlineLevel="0" collapsed="false">
      <c r="A97" s="1"/>
      <c r="B97" s="19" t="s">
        <v>321</v>
      </c>
      <c r="C97" s="5" t="n">
        <v>3</v>
      </c>
      <c r="D97" s="2" t="s">
        <v>80</v>
      </c>
      <c r="E97" s="35" t="s">
        <v>322</v>
      </c>
      <c r="F97" s="35" t="s">
        <v>323</v>
      </c>
      <c r="G97" s="2" t="s">
        <v>67</v>
      </c>
      <c r="H97" s="2" t="s">
        <v>68</v>
      </c>
      <c r="I97" s="2" t="s">
        <v>324</v>
      </c>
      <c r="J97" s="1"/>
      <c r="K97" s="1"/>
      <c r="L97" s="1"/>
      <c r="M97" s="1"/>
      <c r="N97" s="1"/>
      <c r="O97" s="1"/>
      <c r="P97" s="1"/>
      <c r="Q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customFormat="false" ht="24" hidden="false" customHeight="true" outlineLevel="0" collapsed="false">
      <c r="A99" s="1"/>
      <c r="B99" s="10" t="s">
        <v>325</v>
      </c>
      <c r="C99" s="10"/>
      <c r="D99" s="10"/>
      <c r="E99" s="10"/>
      <c r="F99" s="10"/>
      <c r="G99" s="10"/>
      <c r="H99" s="10"/>
      <c r="I99" s="10"/>
      <c r="J99" s="1"/>
      <c r="K99" s="1"/>
      <c r="L99" s="1"/>
      <c r="M99" s="1"/>
      <c r="N99" s="1"/>
      <c r="O99" s="1"/>
      <c r="P99" s="1"/>
      <c r="Q99" s="1"/>
    </row>
    <row r="100" customFormat="false" ht="15" hidden="false" customHeight="false" outlineLevel="0" collapsed="false">
      <c r="A100" s="1"/>
      <c r="B100" s="17" t="s">
        <v>55</v>
      </c>
      <c r="C100" s="18" t="s">
        <v>56</v>
      </c>
      <c r="D100" s="18" t="s">
        <v>57</v>
      </c>
      <c r="E100" s="18" t="s">
        <v>58</v>
      </c>
      <c r="F100" s="18" t="s">
        <v>59</v>
      </c>
      <c r="G100" s="18" t="s">
        <v>60</v>
      </c>
      <c r="H100" s="18" t="s">
        <v>61</v>
      </c>
      <c r="I100" s="18" t="s">
        <v>62</v>
      </c>
      <c r="J100" s="1"/>
      <c r="K100" s="1"/>
      <c r="L100" s="1"/>
      <c r="M100" s="1"/>
      <c r="N100" s="1"/>
      <c r="O100" s="1"/>
      <c r="P100" s="1"/>
      <c r="Q100" s="1"/>
    </row>
    <row r="101" customFormat="false" ht="24" hidden="false" customHeight="true" outlineLevel="0" collapsed="false">
      <c r="A101" s="1"/>
      <c r="B101" s="19" t="s">
        <v>326</v>
      </c>
      <c r="C101" s="5" t="n">
        <v>150</v>
      </c>
      <c r="D101" s="2" t="s">
        <v>327</v>
      </c>
      <c r="E101" s="35" t="s">
        <v>328</v>
      </c>
      <c r="F101" s="35" t="s">
        <v>329</v>
      </c>
      <c r="G101" s="2" t="s">
        <v>67</v>
      </c>
      <c r="H101" s="2"/>
      <c r="I101" s="2" t="s">
        <v>330</v>
      </c>
      <c r="J101" s="1"/>
      <c r="K101" s="1"/>
      <c r="L101" s="1"/>
      <c r="M101" s="1"/>
      <c r="N101" s="1"/>
      <c r="O101" s="1"/>
      <c r="P101" s="1"/>
      <c r="Q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customFormat="false" ht="24" hidden="false" customHeight="true" outlineLevel="0" collapsed="false">
      <c r="A103" s="1"/>
      <c r="B103" s="10" t="s">
        <v>331</v>
      </c>
      <c r="C103" s="10"/>
      <c r="D103" s="10"/>
      <c r="E103" s="10"/>
      <c r="F103" s="10"/>
      <c r="G103" s="10"/>
      <c r="H103" s="10"/>
      <c r="I103" s="10"/>
      <c r="J103" s="1"/>
      <c r="K103" s="1"/>
      <c r="L103" s="1"/>
      <c r="M103" s="1"/>
      <c r="N103" s="1"/>
      <c r="O103" s="1"/>
      <c r="P103" s="1"/>
      <c r="Q103" s="1"/>
    </row>
    <row r="104" customFormat="false" ht="27.75" hidden="false" customHeight="true" outlineLevel="0" collapsed="false">
      <c r="A104" s="1"/>
      <c r="B104" s="35" t="s">
        <v>332</v>
      </c>
      <c r="C104" s="35"/>
      <c r="D104" s="35"/>
      <c r="E104" s="35"/>
      <c r="F104" s="35"/>
      <c r="G104" s="35"/>
      <c r="H104" s="35"/>
      <c r="I104" s="35"/>
      <c r="J104" s="1"/>
      <c r="K104" s="1"/>
      <c r="L104" s="1"/>
      <c r="M104" s="1"/>
      <c r="N104" s="1"/>
      <c r="O104" s="1"/>
      <c r="P104" s="1"/>
      <c r="Q104" s="1"/>
    </row>
    <row r="105" customFormat="false" ht="15" hidden="false" customHeight="false" outlineLevel="0" collapsed="false">
      <c r="A105" s="1"/>
      <c r="B105" s="19" t="s">
        <v>333</v>
      </c>
      <c r="C105" s="45" t="s">
        <v>334</v>
      </c>
      <c r="D105" s="45" t="s">
        <v>335</v>
      </c>
      <c r="E105" s="45" t="s">
        <v>336</v>
      </c>
      <c r="F105" s="45" t="s">
        <v>337</v>
      </c>
      <c r="G105" s="45" t="s">
        <v>338</v>
      </c>
      <c r="H105" s="45" t="s">
        <v>339</v>
      </c>
      <c r="I105" s="45" t="s">
        <v>340</v>
      </c>
      <c r="J105" s="45" t="s">
        <v>341</v>
      </c>
      <c r="K105" s="45" t="s">
        <v>342</v>
      </c>
      <c r="L105" s="45" t="s">
        <v>343</v>
      </c>
      <c r="M105" s="45" t="s">
        <v>344</v>
      </c>
      <c r="N105" s="45" t="s">
        <v>345</v>
      </c>
      <c r="O105" s="1"/>
      <c r="P105" s="1"/>
      <c r="Q105" s="1"/>
    </row>
    <row r="106" customFormat="false" ht="15" hidden="false" customHeight="false" outlineLevel="0" collapsed="false">
      <c r="A106" s="1"/>
      <c r="B106" s="1"/>
      <c r="C106" s="5" t="n">
        <v>1</v>
      </c>
      <c r="D106" s="5" t="n">
        <v>1</v>
      </c>
      <c r="E106" s="5" t="n">
        <v>1</v>
      </c>
      <c r="F106" s="5" t="n">
        <v>1</v>
      </c>
      <c r="G106" s="5" t="n">
        <v>1</v>
      </c>
      <c r="H106" s="5" t="n">
        <v>1</v>
      </c>
      <c r="I106" s="5" t="n">
        <v>1</v>
      </c>
      <c r="J106" s="5" t="n">
        <v>1</v>
      </c>
      <c r="K106" s="5" t="n">
        <v>1</v>
      </c>
      <c r="L106" s="5" t="n">
        <v>1</v>
      </c>
      <c r="M106" s="5" t="n">
        <v>1</v>
      </c>
      <c r="N106" s="5" t="n">
        <v>1</v>
      </c>
      <c r="O106" s="1"/>
      <c r="P106" s="1"/>
      <c r="Q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customFormat="false" ht="24" hidden="false" customHeight="true" outlineLevel="0" collapsed="false">
      <c r="A108" s="1"/>
      <c r="B108" s="10" t="s">
        <v>346</v>
      </c>
      <c r="C108" s="10"/>
      <c r="D108" s="10"/>
      <c r="E108" s="10"/>
      <c r="F108" s="10"/>
      <c r="G108" s="10"/>
      <c r="H108" s="10"/>
      <c r="I108" s="10"/>
      <c r="J108" s="1"/>
      <c r="K108" s="1"/>
      <c r="L108" s="1"/>
      <c r="M108" s="1"/>
      <c r="N108" s="1"/>
      <c r="O108" s="1"/>
      <c r="P108" s="1"/>
      <c r="Q108" s="1"/>
    </row>
    <row r="109" customFormat="false" ht="15" hidden="false" customHeight="true" outlineLevel="0" collapsed="false">
      <c r="A109" s="1"/>
      <c r="B109" s="35" t="s">
        <v>347</v>
      </c>
      <c r="C109" s="35"/>
      <c r="D109" s="35"/>
      <c r="E109" s="35"/>
      <c r="F109" s="35"/>
      <c r="G109" s="35"/>
      <c r="H109" s="35"/>
      <c r="I109" s="35"/>
      <c r="J109" s="1"/>
      <c r="K109" s="1"/>
      <c r="L109" s="1"/>
      <c r="M109" s="1"/>
      <c r="N109" s="1"/>
      <c r="O109" s="1"/>
      <c r="P109" s="1"/>
      <c r="Q109" s="1"/>
    </row>
    <row r="110" customFormat="false" ht="15" hidden="false" customHeight="false" outlineLevel="0" collapsed="false">
      <c r="A110" s="1"/>
      <c r="B110" s="17" t="s">
        <v>16</v>
      </c>
      <c r="C110" s="18" t="s">
        <v>348</v>
      </c>
      <c r="D110" s="18" t="s">
        <v>349</v>
      </c>
      <c r="E110" s="18" t="s">
        <v>350</v>
      </c>
      <c r="F110" s="18" t="s">
        <v>351</v>
      </c>
      <c r="G110" s="18" t="s">
        <v>352</v>
      </c>
      <c r="H110" s="18" t="s">
        <v>353</v>
      </c>
      <c r="I110" s="1"/>
      <c r="J110" s="1"/>
      <c r="K110" s="1"/>
      <c r="L110" s="1"/>
      <c r="M110" s="1"/>
      <c r="N110" s="1"/>
      <c r="O110" s="1"/>
      <c r="P110" s="1"/>
      <c r="Q110" s="1"/>
    </row>
    <row r="111" customFormat="false" ht="15" hidden="false" customHeight="false" outlineLevel="0" collapsed="false">
      <c r="A111" s="1"/>
      <c r="B111" s="19" t="s">
        <v>24</v>
      </c>
      <c r="C111" s="20" t="n">
        <v>2800</v>
      </c>
      <c r="D111" s="21" t="n">
        <v>0.3</v>
      </c>
      <c r="E111" s="21" t="n">
        <v>0.2</v>
      </c>
      <c r="F111" s="21" t="n">
        <v>0.17</v>
      </c>
      <c r="G111" s="21" t="n">
        <v>0.15</v>
      </c>
      <c r="H111" s="46" t="n">
        <f aca="false">a_target_share*0.7</f>
        <v>0.035</v>
      </c>
      <c r="I111" s="1"/>
      <c r="J111" s="1"/>
      <c r="K111" s="1"/>
      <c r="L111" s="1"/>
      <c r="M111" s="1"/>
      <c r="N111" s="1"/>
      <c r="O111" s="1"/>
      <c r="P111" s="1"/>
      <c r="Q111" s="1"/>
    </row>
    <row r="112" customFormat="false" ht="15" hidden="false" customHeight="false" outlineLevel="0" collapsed="false">
      <c r="A112" s="1"/>
      <c r="B112" s="19" t="s">
        <v>26</v>
      </c>
      <c r="C112" s="20" t="n">
        <v>3500</v>
      </c>
      <c r="D112" s="21" t="n">
        <v>0.25</v>
      </c>
      <c r="E112" s="21" t="n">
        <v>0.15</v>
      </c>
      <c r="F112" s="21" t="n">
        <v>0.12</v>
      </c>
      <c r="G112" s="21" t="n">
        <v>0.1</v>
      </c>
      <c r="H112" s="46" t="n">
        <f aca="false">a_target_share*1</f>
        <v>0.05</v>
      </c>
      <c r="I112" s="1"/>
      <c r="J112" s="1"/>
      <c r="K112" s="1"/>
      <c r="L112" s="1"/>
      <c r="M112" s="1"/>
      <c r="N112" s="1"/>
      <c r="O112" s="1"/>
      <c r="P112" s="1"/>
      <c r="Q112" s="1"/>
    </row>
    <row r="113" customFormat="false" ht="15" hidden="false" customHeight="false" outlineLevel="0" collapsed="false">
      <c r="A113" s="1"/>
      <c r="B113" s="19" t="s">
        <v>27</v>
      </c>
      <c r="C113" s="20" t="n">
        <v>4200</v>
      </c>
      <c r="D113" s="21" t="n">
        <v>0.22</v>
      </c>
      <c r="E113" s="21" t="n">
        <v>0.12</v>
      </c>
      <c r="F113" s="21" t="n">
        <v>0.09</v>
      </c>
      <c r="G113" s="21" t="n">
        <v>0.07</v>
      </c>
      <c r="H113" s="46" t="n">
        <f aca="false">a_target_share*1.3</f>
        <v>0.065</v>
      </c>
      <c r="I113" s="1"/>
      <c r="J113" s="1"/>
      <c r="K113" s="1"/>
      <c r="L113" s="1"/>
      <c r="M113" s="1"/>
      <c r="N113" s="1"/>
      <c r="O113" s="1"/>
      <c r="P113" s="1"/>
      <c r="Q113" s="1"/>
    </row>
    <row r="114" customFormat="false" ht="15" hidden="false" customHeight="false" outlineLevel="0" collapsed="false">
      <c r="A114" s="1"/>
      <c r="B114" s="27" t="s">
        <v>354</v>
      </c>
      <c r="C114" s="5" t="s">
        <v>26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customFormat="false" ht="24" hidden="false" customHeight="true" outlineLevel="0" collapsed="false">
      <c r="A116" s="1"/>
      <c r="B116" s="10" t="s">
        <v>355</v>
      </c>
      <c r="C116" s="10"/>
      <c r="D116" s="10"/>
      <c r="E116" s="10"/>
      <c r="F116" s="10"/>
      <c r="G116" s="10"/>
      <c r="H116" s="10"/>
      <c r="I116" s="10"/>
      <c r="J116" s="1"/>
      <c r="K116" s="1"/>
      <c r="L116" s="1"/>
      <c r="M116" s="1"/>
      <c r="N116" s="1"/>
      <c r="O116" s="1"/>
      <c r="P116" s="1"/>
      <c r="Q116" s="1"/>
    </row>
    <row r="117" customFormat="false" ht="15" hidden="false" customHeight="false" outlineLevel="0" collapsed="false">
      <c r="A117" s="1"/>
      <c r="B117" s="47" t="s">
        <v>356</v>
      </c>
      <c r="C117" s="48" t="n">
        <f aca="false">MAX(a_package_length_mm,a_package_width_mm,a_package_height_mm)</f>
        <v>180</v>
      </c>
      <c r="D117" s="1"/>
      <c r="E117" s="2" t="s">
        <v>357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customFormat="false" ht="15" hidden="false" customHeight="false" outlineLevel="0" collapsed="false">
      <c r="A118" s="1"/>
      <c r="B118" s="47" t="s">
        <v>358</v>
      </c>
      <c r="C118" s="48" t="n">
        <f aca="false">MIN(a_package_length_mm,a_package_width_mm,a_package_height_mm)</f>
        <v>60</v>
      </c>
      <c r="D118" s="1"/>
      <c r="E118" s="2" t="s">
        <v>359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customFormat="false" ht="15" hidden="false" customHeight="false" outlineLevel="0" collapsed="false">
      <c r="A119" s="1"/>
      <c r="B119" s="47" t="s">
        <v>360</v>
      </c>
      <c r="C119" s="48" t="n">
        <f aca="false">a_package_length_mm+a_package_width_mm+a_package_height_mm-a_pkg_longest_mm-a_pkg_shortest_mm</f>
        <v>60</v>
      </c>
      <c r="D119" s="1"/>
      <c r="E119" s="2" t="s">
        <v>361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customFormat="false" ht="15" hidden="false" customHeight="false" outlineLevel="0" collapsed="false">
      <c r="A120" s="1"/>
      <c r="B120" s="47" t="s">
        <v>362</v>
      </c>
      <c r="C120" s="48" t="n">
        <f aca="false">(a_package_length_mm+a_package_width_mm+a_package_height_mm)/10</f>
        <v>30</v>
      </c>
      <c r="D120" s="1"/>
      <c r="E120" s="2" t="s">
        <v>363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customFormat="false" ht="15" hidden="false" customHeight="false" outlineLevel="0" collapsed="false">
      <c r="A121" s="1"/>
      <c r="B121" s="47" t="s">
        <v>364</v>
      </c>
      <c r="C121" s="48" t="n">
        <f aca="false">MATCH(a_amazon_fee_category,'Fee Reference'!$B$34:$B$45,0)</f>
        <v>1</v>
      </c>
      <c r="D121" s="1"/>
      <c r="E121" s="2" t="s">
        <v>365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customFormat="false" ht="15" hidden="false" customHeight="false" outlineLevel="0" collapsed="false">
      <c r="A122" s="1"/>
      <c r="B122" s="47" t="s">
        <v>366</v>
      </c>
      <c r="C122" s="48" t="n">
        <f aca="false">MATCH(1,'Fee Reference'!$K$9:$K$30,0)</f>
        <v>4</v>
      </c>
      <c r="D122" s="1"/>
      <c r="E122" s="2" t="s">
        <v>367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customFormat="false" ht="15" hidden="false" customHeight="false" outlineLevel="0" collapsed="false">
      <c r="A123" s="1"/>
      <c r="B123" s="47" t="s">
        <v>368</v>
      </c>
      <c r="C123" s="48" t="str">
        <f aca="false">INDEX('Fee Reference'!$B$9:$B$30,a_pkg_tier_idx)</f>
        <v>標準3</v>
      </c>
      <c r="D123" s="1"/>
      <c r="E123" s="2" t="s">
        <v>369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customFormat="false" ht="15" hidden="false" customHeight="false" outlineLevel="0" collapsed="false">
      <c r="A124" s="1"/>
      <c r="B124" s="47" t="s">
        <v>370</v>
      </c>
      <c r="C124" s="49" t="n">
        <f aca="false">INDEX(a_scn_asp_jpy,MATCH(a_scenario,a_scn_names,0))</f>
        <v>3500</v>
      </c>
      <c r="D124" s="1"/>
      <c r="E124" s="2" t="s">
        <v>371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customFormat="false" ht="15" hidden="false" customHeight="false" outlineLevel="0" collapsed="false">
      <c r="A125" s="1"/>
      <c r="B125" s="47" t="s">
        <v>372</v>
      </c>
      <c r="C125" s="46" t="n">
        <f aca="false">INDEX(a_scn_tacos_y1_start,MATCH(a_scenario,a_scn_names,0))</f>
        <v>0.25</v>
      </c>
      <c r="D125" s="1"/>
      <c r="E125" s="2" t="s">
        <v>373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customFormat="false" ht="15" hidden="false" customHeight="false" outlineLevel="0" collapsed="false">
      <c r="A126" s="1"/>
      <c r="B126" s="47" t="s">
        <v>374</v>
      </c>
      <c r="C126" s="46" t="n">
        <f aca="false">INDEX(a_scn_tacos_y1_end,MATCH(a_scenario,a_scn_names,0))</f>
        <v>0.15</v>
      </c>
      <c r="D126" s="1"/>
      <c r="E126" s="2" t="s">
        <v>375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customFormat="false" ht="15" hidden="false" customHeight="false" outlineLevel="0" collapsed="false">
      <c r="A127" s="1"/>
      <c r="B127" s="47" t="s">
        <v>376</v>
      </c>
      <c r="C127" s="46" t="n">
        <f aca="false">INDEX(a_scn_tacos_y2,MATCH(a_scenario,a_scn_names,0))</f>
        <v>0.12</v>
      </c>
      <c r="D127" s="1"/>
      <c r="E127" s="2" t="s">
        <v>377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customFormat="false" ht="15" hidden="false" customHeight="false" outlineLevel="0" collapsed="false">
      <c r="A128" s="1"/>
      <c r="B128" s="47" t="s">
        <v>378</v>
      </c>
      <c r="C128" s="46" t="n">
        <f aca="false">INDEX(a_scn_tacos_y3,MATCH(a_scenario,a_scn_names,0))</f>
        <v>0.1</v>
      </c>
      <c r="D128" s="1"/>
      <c r="E128" s="2" t="s">
        <v>379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customFormat="false" ht="15" hidden="false" customHeight="false" outlineLevel="0" collapsed="false">
      <c r="A129" s="1"/>
      <c r="B129" s="47" t="s">
        <v>380</v>
      </c>
      <c r="C129" s="46" t="n">
        <f aca="false">INDEX(a_scn_target_share,MATCH(a_scenario,a_scn_names,0))</f>
        <v>0.05</v>
      </c>
      <c r="D129" s="1"/>
      <c r="E129" s="2" t="s">
        <v>381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customFormat="false" ht="15" hidden="false" customHeight="false" outlineLevel="0" collapsed="false">
      <c r="A130" s="1"/>
      <c r="B130" s="47" t="s">
        <v>382</v>
      </c>
      <c r="C130" s="48" t="n">
        <f aca="false">MAX(a_referral_rate_value*a_act_asp_jpy,30)</f>
        <v>364</v>
      </c>
      <c r="D130" s="1"/>
      <c r="E130" s="2" t="s">
        <v>383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customFormat="false" ht="15" hidden="false" customHeight="false" outlineLevel="0" collapsed="false">
      <c r="A131" s="1"/>
      <c r="B131" s="47" t="s">
        <v>384</v>
      </c>
      <c r="C131" s="48" t="n">
        <f aca="false">MIN(a_refund_admin_pct_of_referral*a_act_referral_pu,a_refund_admin_cap_jpy)</f>
        <v>72.8</v>
      </c>
      <c r="D131" s="1"/>
      <c r="E131" s="2" t="s">
        <v>385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customFormat="false" ht="15" hidden="false" customHeight="false" outlineLevel="0" collapsed="false">
      <c r="A132" s="1"/>
      <c r="B132" s="47" t="s">
        <v>386</v>
      </c>
      <c r="C132" s="48" t="n">
        <f aca="false">a_unit_cogs_jpy*(1+(1-a_supplier_invoice_credit_rate)*a_jct_rate_output)</f>
        <v>1575</v>
      </c>
      <c r="D132" s="1"/>
      <c r="E132" s="2" t="s">
        <v>387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customFormat="false" ht="15" hidden="false" customHeight="false" outlineLevel="0" collapsed="false">
      <c r="A133" s="1"/>
      <c r="B133" s="47" t="s">
        <v>388</v>
      </c>
      <c r="C133" s="48" t="n">
        <f aca="false">a_act_cogs_pu+a_logistics_jpy_per_unit+a_inspection_jpy_per_unit</f>
        <v>1625</v>
      </c>
      <c r="D133" s="1"/>
      <c r="E133" s="2" t="s">
        <v>389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customFormat="false" ht="15" hidden="false" customHeight="false" outlineLevel="0" collapsed="false">
      <c r="A134" s="1"/>
      <c r="B134" s="47" t="s">
        <v>390</v>
      </c>
      <c r="C134" s="48" t="n">
        <f aca="false">(a_capex_samples_jpy+a_capex_content_jpy+a_capex_trademark_jpy+a_capex_vine_jpy+a_capex_certification_jpy+a_capex_oem_tooling_jpy)*(1+a_capex_contingency_pct)</f>
        <v>519200</v>
      </c>
      <c r="D134" s="1"/>
      <c r="E134" s="2" t="s">
        <v>391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</sheetData>
  <mergeCells count="16">
    <mergeCell ref="B7:I7"/>
    <mergeCell ref="B17:I17"/>
    <mergeCell ref="B27:I27"/>
    <mergeCell ref="B38:I38"/>
    <mergeCell ref="B46:I46"/>
    <mergeCell ref="B52:I52"/>
    <mergeCell ref="B60:I60"/>
    <mergeCell ref="B70:I70"/>
    <mergeCell ref="B81:I81"/>
    <mergeCell ref="B91:I91"/>
    <mergeCell ref="B99:I99"/>
    <mergeCell ref="B103:I103"/>
    <mergeCell ref="B104:I104"/>
    <mergeCell ref="B108:I108"/>
    <mergeCell ref="B109:I109"/>
    <mergeCell ref="B116:I116"/>
  </mergeCells>
  <dataValidations count="2">
    <dataValidation allowBlank="false" errorStyle="stop" operator="between" showDropDown="false" showErrorMessage="false" showInputMessage="false" sqref="C44" type="list">
      <formula1>'Fee Reference'!$B$34:$B$45</formula1>
      <formula2>0</formula2>
    </dataValidation>
    <dataValidation allowBlank="false" errorStyle="stop" operator="between" showDropDown="false" showErrorMessage="false" showInputMessage="false" sqref="C114" type="list">
      <formula1>"pessimistic,base,optimistic"</formula1>
      <formula2>0</formula2>
    </dataValidation>
  </dataValidations>
  <hyperlinks>
    <hyperlink ref="F20" r:id="rId1" display="Amazon JP points default"/>
    <hyperlink ref="F21" r:id="rId2" display="Axalpha JP coupon/deal fees 2025-06"/>
    <hyperlink ref="F23" r:id="rId3" display="Axalpha JP coupon/deal fees 2025-06"/>
    <hyperlink ref="F29" r:id="rId4" display="ECのミカタ 掛け率"/>
    <hyperlink ref="F30" r:id="rId5" display="FBA partner carrier (Yamato)"/>
    <hyperlink ref="F32" r:id="rId6" display="Value Added Resource FBA reimbursement 2025"/>
    <hyperlink ref="F34" r:id="rId7" display="NTA invoice system transitional credits"/>
    <hyperlink ref="F54" r:id="rId8" display="Amazon JP pricing 在庫保管手数料"/>
    <hyperlink ref="F55" r:id="rId9" display="Amazon JP pricing 在庫保管手数料"/>
    <hyperlink ref="F56" r:id="rId10" display="Amazon refund administration fee"/>
    <hyperlink ref="F62" r:id="rId11" display="markenote.jp JP CPC ¥50-300"/>
    <hyperlink ref="F72" r:id="rId12" display="Amazon JP pricing 大口出品"/>
    <hyperlink ref="F73" r:id="rId13" display="Marsh Amazon seller insurance"/>
    <hyperlink ref="F76" r:id="rId14" display="absorbs former admin defaults: accounting ¥50k (税理士 ¥500-700k/yr"/>
    <hyperlink ref="F85" r:id="rId15" display="Cotobox trademark cost"/>
    <hyperlink ref="F86" r:id="rId16" display="Vine JP fees"/>
    <hyperlink ref="F96" r:id="rId17" display="Amazon JP disbursement cycle (~14d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E72"/>
    <pageSetUpPr fitToPage="false"/>
  </sheetPr>
  <dimension ref="A1:S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7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30" hidden="false" customHeight="true" outlineLevel="0" collapsed="false">
      <c r="A4" s="1"/>
      <c r="B4" s="3" t="s">
        <v>392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5" hidden="false" customHeight="false" outlineLevel="0" collapsed="false">
      <c r="A5" s="1"/>
      <c r="B5" s="25" t="s">
        <v>393</v>
      </c>
      <c r="C5" s="7"/>
      <c r="D5" s="7"/>
      <c r="E5" s="7"/>
      <c r="F5" s="7"/>
      <c r="G5" s="7"/>
      <c r="H5" s="7"/>
      <c r="I5" s="7"/>
      <c r="J5" s="7"/>
      <c r="K5" s="7"/>
      <c r="L5" s="1"/>
      <c r="M5" s="1"/>
      <c r="N5" s="1"/>
      <c r="O5" s="1"/>
      <c r="P5" s="1"/>
      <c r="Q5" s="1"/>
      <c r="R5" s="1"/>
      <c r="S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false" ht="24" hidden="false" customHeight="true" outlineLevel="0" collapsed="false">
      <c r="A7" s="1"/>
      <c r="B7" s="10" t="s">
        <v>394</v>
      </c>
      <c r="C7" s="10"/>
      <c r="D7" s="10"/>
      <c r="E7" s="10"/>
      <c r="F7" s="10"/>
      <c r="G7" s="10"/>
      <c r="H7" s="10"/>
      <c r="I7" s="10"/>
      <c r="J7" s="10"/>
      <c r="K7" s="10"/>
      <c r="L7" s="1"/>
      <c r="M7" s="1"/>
      <c r="N7" s="1"/>
      <c r="O7" s="1"/>
      <c r="P7" s="1"/>
      <c r="Q7" s="1"/>
      <c r="R7" s="1"/>
      <c r="S7" s="1"/>
    </row>
    <row r="8" customFormat="false" ht="15" hidden="false" customHeight="false" outlineLevel="0" collapsed="false">
      <c r="A8" s="1"/>
      <c r="B8" s="17" t="s">
        <v>395</v>
      </c>
      <c r="C8" s="18" t="s">
        <v>396</v>
      </c>
      <c r="D8" s="18" t="s">
        <v>397</v>
      </c>
      <c r="E8" s="18" t="s">
        <v>398</v>
      </c>
      <c r="F8" s="18" t="s">
        <v>399</v>
      </c>
      <c r="G8" s="18" t="s">
        <v>400</v>
      </c>
      <c r="H8" s="18" t="s">
        <v>401</v>
      </c>
      <c r="I8" s="18" t="s">
        <v>402</v>
      </c>
      <c r="J8" s="18" t="s">
        <v>403</v>
      </c>
      <c r="K8" s="18" t="s">
        <v>404</v>
      </c>
      <c r="L8" s="1"/>
      <c r="M8" s="1"/>
      <c r="N8" s="1"/>
      <c r="O8" s="1"/>
      <c r="P8" s="1"/>
      <c r="Q8" s="1"/>
      <c r="R8" s="1"/>
      <c r="S8" s="1"/>
    </row>
    <row r="9" customFormat="false" ht="15" hidden="false" customHeight="false" outlineLevel="0" collapsed="false">
      <c r="A9" s="1"/>
      <c r="B9" s="50" t="s">
        <v>405</v>
      </c>
      <c r="C9" s="2" t="n">
        <v>1</v>
      </c>
      <c r="D9" s="2" t="n">
        <v>250</v>
      </c>
      <c r="E9" s="2" t="n">
        <v>180</v>
      </c>
      <c r="F9" s="2" t="n">
        <v>20</v>
      </c>
      <c r="G9" s="2" t="n">
        <v>0</v>
      </c>
      <c r="H9" s="2" t="n">
        <v>250</v>
      </c>
      <c r="I9" s="19" t="n">
        <v>288</v>
      </c>
      <c r="J9" s="19" t="n">
        <v>222</v>
      </c>
      <c r="K9" s="2" t="n">
        <f aca="false">IF(C9=1,(a_pkg_longest_mm&lt;=D9)*(a_pkg_mid_mm&lt;=E9)*(a_pkg_shortest_mm&lt;=F9)*(a_package_weight_g&lt;=H9),(a_pkg_girth_cm&lt;=G9)*(a_package_weight_g&lt;=H9))</f>
        <v>0</v>
      </c>
      <c r="L9" s="1"/>
      <c r="M9" s="1"/>
      <c r="N9" s="1"/>
      <c r="O9" s="1"/>
      <c r="P9" s="1"/>
      <c r="Q9" s="1"/>
      <c r="R9" s="1"/>
      <c r="S9" s="1"/>
    </row>
    <row r="10" customFormat="false" ht="15" hidden="false" customHeight="false" outlineLevel="0" collapsed="false">
      <c r="A10" s="1"/>
      <c r="B10" s="51" t="s">
        <v>406</v>
      </c>
      <c r="C10" s="31" t="n">
        <v>1</v>
      </c>
      <c r="D10" s="31" t="n">
        <v>350</v>
      </c>
      <c r="E10" s="31" t="n">
        <v>300</v>
      </c>
      <c r="F10" s="31" t="n">
        <v>33</v>
      </c>
      <c r="G10" s="31" t="n">
        <v>0</v>
      </c>
      <c r="H10" s="31" t="n">
        <v>1000</v>
      </c>
      <c r="I10" s="30" t="n">
        <v>318</v>
      </c>
      <c r="J10" s="30" t="n">
        <v>252</v>
      </c>
      <c r="K10" s="31" t="n">
        <f aca="false">IF(C10=1,(a_pkg_longest_mm&lt;=D10)*(a_pkg_mid_mm&lt;=E10)*(a_pkg_shortest_mm&lt;=F10)*(a_package_weight_g&lt;=H10),(a_pkg_girth_cm&lt;=G10)*(a_package_weight_g&lt;=H10))</f>
        <v>0</v>
      </c>
      <c r="L10" s="1"/>
      <c r="M10" s="1"/>
      <c r="N10" s="1"/>
      <c r="O10" s="1"/>
      <c r="P10" s="1"/>
      <c r="Q10" s="1"/>
      <c r="R10" s="1"/>
      <c r="S10" s="1"/>
    </row>
    <row r="11" customFormat="false" ht="15" hidden="false" customHeight="false" outlineLevel="0" collapsed="false">
      <c r="A11" s="1"/>
      <c r="B11" s="50" t="s">
        <v>407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20</v>
      </c>
      <c r="H11" s="2" t="n">
        <v>2000</v>
      </c>
      <c r="I11" s="19" t="n">
        <v>410</v>
      </c>
      <c r="J11" s="19" t="n">
        <v>344</v>
      </c>
      <c r="K11" s="2" t="n">
        <f aca="false">IF(C11=1,(a_pkg_longest_mm&lt;=D11)*(a_pkg_mid_mm&lt;=E11)*(a_pkg_shortest_mm&lt;=F11)*(a_package_weight_g&lt;=H11),(a_pkg_girth_cm&lt;=G11)*(a_package_weight_g&lt;=H11))</f>
        <v>0</v>
      </c>
      <c r="L11" s="1"/>
      <c r="M11" s="1"/>
      <c r="N11" s="1"/>
      <c r="O11" s="1"/>
      <c r="P11" s="1"/>
      <c r="Q11" s="1"/>
      <c r="R11" s="1"/>
      <c r="S11" s="1"/>
    </row>
    <row r="12" customFormat="false" ht="15" hidden="false" customHeight="false" outlineLevel="0" collapsed="false">
      <c r="A12" s="1"/>
      <c r="B12" s="51" t="s">
        <v>408</v>
      </c>
      <c r="C12" s="31" t="n">
        <v>0</v>
      </c>
      <c r="D12" s="31" t="n">
        <v>0</v>
      </c>
      <c r="E12" s="31" t="n">
        <v>0</v>
      </c>
      <c r="F12" s="31" t="n">
        <v>0</v>
      </c>
      <c r="G12" s="31" t="n">
        <v>30</v>
      </c>
      <c r="H12" s="31" t="n">
        <v>2000</v>
      </c>
      <c r="I12" s="30" t="n">
        <v>415</v>
      </c>
      <c r="J12" s="30" t="n">
        <v>358</v>
      </c>
      <c r="K12" s="31" t="n">
        <f aca="false">IF(C12=1,(a_pkg_longest_mm&lt;=D12)*(a_pkg_mid_mm&lt;=E12)*(a_pkg_shortest_mm&lt;=F12)*(a_package_weight_g&lt;=H12),(a_pkg_girth_cm&lt;=G12)*(a_package_weight_g&lt;=H12))</f>
        <v>1</v>
      </c>
      <c r="L12" s="1"/>
      <c r="M12" s="1"/>
      <c r="N12" s="1"/>
      <c r="O12" s="1"/>
      <c r="P12" s="1"/>
      <c r="Q12" s="1"/>
      <c r="R12" s="1"/>
      <c r="S12" s="1"/>
    </row>
    <row r="13" customFormat="false" ht="15" hidden="false" customHeight="false" outlineLevel="0" collapsed="false">
      <c r="A13" s="1"/>
      <c r="B13" s="50" t="s">
        <v>409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40</v>
      </c>
      <c r="H13" s="2" t="n">
        <v>2000</v>
      </c>
      <c r="I13" s="19" t="n">
        <v>420</v>
      </c>
      <c r="J13" s="19" t="n">
        <v>371</v>
      </c>
      <c r="K13" s="2" t="n">
        <f aca="false">IF(C13=1,(a_pkg_longest_mm&lt;=D13)*(a_pkg_mid_mm&lt;=E13)*(a_pkg_shortest_mm&lt;=F13)*(a_package_weight_g&lt;=H13),(a_pkg_girth_cm&lt;=G13)*(a_package_weight_g&lt;=H13))</f>
        <v>1</v>
      </c>
      <c r="L13" s="1"/>
      <c r="M13" s="1"/>
      <c r="N13" s="1"/>
      <c r="O13" s="1"/>
      <c r="P13" s="1"/>
      <c r="Q13" s="1"/>
      <c r="R13" s="1"/>
      <c r="S13" s="1"/>
    </row>
    <row r="14" customFormat="false" ht="15" hidden="false" customHeight="false" outlineLevel="0" collapsed="false">
      <c r="A14" s="1"/>
      <c r="B14" s="51" t="s">
        <v>410</v>
      </c>
      <c r="C14" s="31" t="n">
        <v>0</v>
      </c>
      <c r="D14" s="31" t="n">
        <v>0</v>
      </c>
      <c r="E14" s="31" t="n">
        <v>0</v>
      </c>
      <c r="F14" s="31" t="n">
        <v>0</v>
      </c>
      <c r="G14" s="31" t="n">
        <v>50</v>
      </c>
      <c r="H14" s="31" t="n">
        <v>2000</v>
      </c>
      <c r="I14" s="30" t="n">
        <v>425</v>
      </c>
      <c r="J14" s="30" t="n">
        <v>379</v>
      </c>
      <c r="K14" s="31" t="n">
        <f aca="false">IF(C14=1,(a_pkg_longest_mm&lt;=D14)*(a_pkg_mid_mm&lt;=E14)*(a_pkg_shortest_mm&lt;=F14)*(a_package_weight_g&lt;=H14),(a_pkg_girth_cm&lt;=G14)*(a_package_weight_g&lt;=H14))</f>
        <v>1</v>
      </c>
      <c r="L14" s="1"/>
      <c r="M14" s="1"/>
      <c r="N14" s="1"/>
      <c r="O14" s="1"/>
      <c r="P14" s="1"/>
      <c r="Q14" s="1"/>
      <c r="R14" s="1"/>
      <c r="S14" s="1"/>
    </row>
    <row r="15" customFormat="false" ht="15" hidden="false" customHeight="false" outlineLevel="0" collapsed="false">
      <c r="A15" s="1"/>
      <c r="B15" s="50" t="s">
        <v>411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60</v>
      </c>
      <c r="H15" s="2" t="n">
        <v>2000</v>
      </c>
      <c r="I15" s="19" t="n">
        <v>430</v>
      </c>
      <c r="J15" s="19" t="n">
        <v>391</v>
      </c>
      <c r="K15" s="2" t="n">
        <f aca="false">IF(C15=1,(a_pkg_longest_mm&lt;=D15)*(a_pkg_mid_mm&lt;=E15)*(a_pkg_shortest_mm&lt;=F15)*(a_package_weight_g&lt;=H15),(a_pkg_girth_cm&lt;=G15)*(a_package_weight_g&lt;=H15))</f>
        <v>1</v>
      </c>
      <c r="L15" s="1"/>
      <c r="M15" s="1"/>
      <c r="N15" s="1"/>
      <c r="O15" s="1"/>
      <c r="P15" s="1"/>
      <c r="Q15" s="1"/>
      <c r="R15" s="1"/>
      <c r="S15" s="1"/>
    </row>
    <row r="16" customFormat="false" ht="15" hidden="false" customHeight="false" outlineLevel="0" collapsed="false">
      <c r="A16" s="1"/>
      <c r="B16" s="51" t="s">
        <v>412</v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80</v>
      </c>
      <c r="H16" s="31" t="n">
        <v>5000</v>
      </c>
      <c r="I16" s="30" t="n">
        <v>472</v>
      </c>
      <c r="J16" s="30" t="n">
        <v>427</v>
      </c>
      <c r="K16" s="31" t="n">
        <f aca="false">IF(C16=1,(a_pkg_longest_mm&lt;=D16)*(a_pkg_mid_mm&lt;=E16)*(a_pkg_shortest_mm&lt;=F16)*(a_package_weight_g&lt;=H16),(a_pkg_girth_cm&lt;=G16)*(a_package_weight_g&lt;=H16))</f>
        <v>1</v>
      </c>
      <c r="L16" s="1"/>
      <c r="M16" s="1"/>
      <c r="N16" s="1"/>
      <c r="O16" s="1"/>
      <c r="P16" s="1"/>
      <c r="Q16" s="1"/>
      <c r="R16" s="1"/>
      <c r="S16" s="1"/>
    </row>
    <row r="17" customFormat="false" ht="15" hidden="false" customHeight="false" outlineLevel="0" collapsed="false">
      <c r="A17" s="1"/>
      <c r="B17" s="50" t="s">
        <v>413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100</v>
      </c>
      <c r="H17" s="2" t="n">
        <v>9000</v>
      </c>
      <c r="I17" s="19" t="n">
        <v>532</v>
      </c>
      <c r="J17" s="19" t="n">
        <v>466</v>
      </c>
      <c r="K17" s="2" t="n">
        <f aca="false">IF(C17=1,(a_pkg_longest_mm&lt;=D17)*(a_pkg_mid_mm&lt;=E17)*(a_pkg_shortest_mm&lt;=F17)*(a_package_weight_g&lt;=H17),(a_pkg_girth_cm&lt;=G17)*(a_package_weight_g&lt;=H17))</f>
        <v>1</v>
      </c>
      <c r="L17" s="1"/>
      <c r="M17" s="1"/>
      <c r="N17" s="1"/>
      <c r="O17" s="1"/>
      <c r="P17" s="1"/>
      <c r="Q17" s="1"/>
      <c r="R17" s="1"/>
      <c r="S17" s="1"/>
    </row>
    <row r="18" customFormat="false" ht="15" hidden="false" customHeight="false" outlineLevel="0" collapsed="false">
      <c r="A18" s="1"/>
      <c r="B18" s="51" t="s">
        <v>414</v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60</v>
      </c>
      <c r="H18" s="31" t="n">
        <v>2000</v>
      </c>
      <c r="I18" s="30" t="n">
        <v>589</v>
      </c>
      <c r="J18" s="30" t="n">
        <v>523</v>
      </c>
      <c r="K18" s="31" t="n">
        <f aca="false">IF(C18=1,(a_pkg_longest_mm&lt;=D18)*(a_pkg_mid_mm&lt;=E18)*(a_pkg_shortest_mm&lt;=F18)*(a_package_weight_g&lt;=H18),(a_pkg_girth_cm&lt;=G18)*(a_package_weight_g&lt;=H18))</f>
        <v>1</v>
      </c>
      <c r="L18" s="1"/>
      <c r="M18" s="1"/>
      <c r="N18" s="1"/>
      <c r="O18" s="1"/>
      <c r="P18" s="1"/>
      <c r="Q18" s="1"/>
      <c r="R18" s="1"/>
      <c r="S18" s="1"/>
    </row>
    <row r="19" customFormat="false" ht="15" hidden="false" customHeight="false" outlineLevel="0" collapsed="false">
      <c r="A19" s="1"/>
      <c r="B19" s="50" t="s">
        <v>415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80</v>
      </c>
      <c r="H19" s="2" t="n">
        <v>5000</v>
      </c>
      <c r="I19" s="19" t="n">
        <v>624</v>
      </c>
      <c r="J19" s="19" t="n">
        <v>558</v>
      </c>
      <c r="K19" s="2" t="n">
        <f aca="false">IF(C19=1,(a_pkg_longest_mm&lt;=D19)*(a_pkg_mid_mm&lt;=E19)*(a_pkg_shortest_mm&lt;=F19)*(a_package_weight_g&lt;=H19),(a_pkg_girth_cm&lt;=G19)*(a_package_weight_g&lt;=H19))</f>
        <v>1</v>
      </c>
      <c r="L19" s="1"/>
      <c r="M19" s="1"/>
      <c r="N19" s="1"/>
      <c r="O19" s="1"/>
      <c r="P19" s="1"/>
      <c r="Q19" s="1"/>
      <c r="R19" s="1"/>
      <c r="S19" s="1"/>
    </row>
    <row r="20" customFormat="false" ht="15" hidden="false" customHeight="false" outlineLevel="0" collapsed="false">
      <c r="A20" s="1"/>
      <c r="B20" s="51" t="s">
        <v>416</v>
      </c>
      <c r="C20" s="31" t="n">
        <v>0</v>
      </c>
      <c r="D20" s="31" t="n">
        <v>0</v>
      </c>
      <c r="E20" s="31" t="n">
        <v>0</v>
      </c>
      <c r="F20" s="31" t="n">
        <v>0</v>
      </c>
      <c r="G20" s="31" t="n">
        <v>100</v>
      </c>
      <c r="H20" s="31" t="n">
        <v>10000</v>
      </c>
      <c r="I20" s="30" t="n">
        <v>675</v>
      </c>
      <c r="J20" s="30" t="n">
        <v>609</v>
      </c>
      <c r="K20" s="31" t="n">
        <f aca="false">IF(C20=1,(a_pkg_longest_mm&lt;=D20)*(a_pkg_mid_mm&lt;=E20)*(a_pkg_shortest_mm&lt;=F20)*(a_package_weight_g&lt;=H20),(a_pkg_girth_cm&lt;=G20)*(a_package_weight_g&lt;=H20))</f>
        <v>1</v>
      </c>
      <c r="L20" s="1"/>
      <c r="M20" s="1"/>
      <c r="N20" s="1"/>
      <c r="O20" s="1"/>
      <c r="P20" s="1"/>
      <c r="Q20" s="1"/>
      <c r="R20" s="1"/>
      <c r="S20" s="1"/>
    </row>
    <row r="21" customFormat="false" ht="15" hidden="false" customHeight="false" outlineLevel="0" collapsed="false">
      <c r="A21" s="1"/>
      <c r="B21" s="50" t="s">
        <v>417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120</v>
      </c>
      <c r="H21" s="2" t="n">
        <v>15000</v>
      </c>
      <c r="I21" s="19" t="n">
        <v>781</v>
      </c>
      <c r="J21" s="19" t="n">
        <v>715</v>
      </c>
      <c r="K21" s="2" t="n">
        <f aca="false">IF(C21=1,(a_pkg_longest_mm&lt;=D21)*(a_pkg_mid_mm&lt;=E21)*(a_pkg_shortest_mm&lt;=F21)*(a_package_weight_g&lt;=H21),(a_pkg_girth_cm&lt;=G21)*(a_package_weight_g&lt;=H21))</f>
        <v>1</v>
      </c>
      <c r="L21" s="1"/>
      <c r="M21" s="1"/>
      <c r="N21" s="1"/>
      <c r="O21" s="1"/>
      <c r="P21" s="1"/>
      <c r="Q21" s="1"/>
      <c r="R21" s="1"/>
      <c r="S21" s="1"/>
    </row>
    <row r="22" customFormat="false" ht="15" hidden="false" customHeight="false" outlineLevel="0" collapsed="false">
      <c r="A22" s="1"/>
      <c r="B22" s="51" t="s">
        <v>418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140</v>
      </c>
      <c r="H22" s="31" t="n">
        <v>20000</v>
      </c>
      <c r="I22" s="30" t="n">
        <v>1020</v>
      </c>
      <c r="J22" s="30" t="n">
        <v>954</v>
      </c>
      <c r="K22" s="31" t="n">
        <f aca="false">IF(C22=1,(a_pkg_longest_mm&lt;=D22)*(a_pkg_mid_mm&lt;=E22)*(a_pkg_shortest_mm&lt;=F22)*(a_package_weight_g&lt;=H22),(a_pkg_girth_cm&lt;=G22)*(a_package_weight_g&lt;=H22))</f>
        <v>1</v>
      </c>
      <c r="L22" s="1"/>
      <c r="M22" s="1"/>
      <c r="N22" s="1"/>
      <c r="O22" s="1"/>
      <c r="P22" s="1"/>
      <c r="Q22" s="1"/>
      <c r="R22" s="1"/>
      <c r="S22" s="1"/>
    </row>
    <row r="23" customFormat="false" ht="15" hidden="false" customHeight="false" outlineLevel="0" collapsed="false">
      <c r="A23" s="1"/>
      <c r="B23" s="50" t="s">
        <v>419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160</v>
      </c>
      <c r="H23" s="2" t="n">
        <v>25000</v>
      </c>
      <c r="I23" s="19" t="n">
        <v>1100</v>
      </c>
      <c r="J23" s="19" t="n">
        <v>1034</v>
      </c>
      <c r="K23" s="2" t="n">
        <f aca="false">IF(C23=1,(a_pkg_longest_mm&lt;=D23)*(a_pkg_mid_mm&lt;=E23)*(a_pkg_shortest_mm&lt;=F23)*(a_package_weight_g&lt;=H23),(a_pkg_girth_cm&lt;=G23)*(a_package_weight_g&lt;=H23))</f>
        <v>1</v>
      </c>
      <c r="L23" s="1"/>
      <c r="M23" s="1"/>
      <c r="N23" s="1"/>
      <c r="O23" s="1"/>
      <c r="P23" s="1"/>
      <c r="Q23" s="1"/>
      <c r="R23" s="1"/>
      <c r="S23" s="1"/>
    </row>
    <row r="24" customFormat="false" ht="15" hidden="false" customHeight="false" outlineLevel="0" collapsed="false">
      <c r="A24" s="1"/>
      <c r="B24" s="51" t="s">
        <v>420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180</v>
      </c>
      <c r="H24" s="31" t="n">
        <v>30000</v>
      </c>
      <c r="I24" s="30" t="n">
        <v>1532</v>
      </c>
      <c r="J24" s="30" t="n">
        <v>1466</v>
      </c>
      <c r="K24" s="31" t="n">
        <f aca="false">IF(C24=1,(a_pkg_longest_mm&lt;=D24)*(a_pkg_mid_mm&lt;=E24)*(a_pkg_shortest_mm&lt;=F24)*(a_package_weight_g&lt;=H24),(a_pkg_girth_cm&lt;=G24)*(a_package_weight_g&lt;=H24))</f>
        <v>1</v>
      </c>
      <c r="L24" s="1"/>
      <c r="M24" s="1"/>
      <c r="N24" s="1"/>
      <c r="O24" s="1"/>
      <c r="P24" s="1"/>
      <c r="Q24" s="1"/>
      <c r="R24" s="1"/>
      <c r="S24" s="1"/>
    </row>
    <row r="25" customFormat="false" ht="15" hidden="false" customHeight="false" outlineLevel="0" collapsed="false">
      <c r="A25" s="1"/>
      <c r="B25" s="50" t="s">
        <v>421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200</v>
      </c>
      <c r="H25" s="2" t="n">
        <v>40000</v>
      </c>
      <c r="I25" s="19" t="n">
        <v>1756</v>
      </c>
      <c r="J25" s="19" t="n">
        <v>1690</v>
      </c>
      <c r="K25" s="2" t="n">
        <f aca="false">IF(C25=1,(a_pkg_longest_mm&lt;=D25)*(a_pkg_mid_mm&lt;=E25)*(a_pkg_shortest_mm&lt;=F25)*(a_package_weight_g&lt;=H25),(a_pkg_girth_cm&lt;=G25)*(a_package_weight_g&lt;=H25))</f>
        <v>1</v>
      </c>
      <c r="L25" s="1"/>
      <c r="M25" s="1"/>
      <c r="N25" s="1"/>
      <c r="O25" s="1"/>
      <c r="P25" s="1"/>
      <c r="Q25" s="1"/>
      <c r="R25" s="1"/>
      <c r="S25" s="1"/>
    </row>
    <row r="26" customFormat="false" ht="15" hidden="false" customHeight="false" outlineLevel="0" collapsed="false">
      <c r="A26" s="1"/>
      <c r="B26" s="51" t="s">
        <v>422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200</v>
      </c>
      <c r="H26" s="31" t="n">
        <v>50000</v>
      </c>
      <c r="I26" s="30" t="n">
        <v>2755</v>
      </c>
      <c r="J26" s="30" t="n">
        <v>2689</v>
      </c>
      <c r="K26" s="31" t="n">
        <f aca="false">IF(C26=1,(a_pkg_longest_mm&lt;=D26)*(a_pkg_mid_mm&lt;=E26)*(a_pkg_shortest_mm&lt;=F26)*(a_package_weight_g&lt;=H26),(a_pkg_girth_cm&lt;=G26)*(a_package_weight_g&lt;=H26))</f>
        <v>1</v>
      </c>
      <c r="L26" s="1"/>
      <c r="M26" s="1"/>
      <c r="N26" s="1"/>
      <c r="O26" s="1"/>
      <c r="P26" s="1"/>
      <c r="Q26" s="1"/>
      <c r="R26" s="1"/>
      <c r="S26" s="1"/>
    </row>
    <row r="27" customFormat="false" ht="15" hidden="false" customHeight="false" outlineLevel="0" collapsed="false">
      <c r="A27" s="1"/>
      <c r="B27" s="50" t="s">
        <v>423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220</v>
      </c>
      <c r="H27" s="2" t="n">
        <v>50000</v>
      </c>
      <c r="I27" s="19" t="n">
        <v>3573</v>
      </c>
      <c r="J27" s="19" t="n">
        <v>3507</v>
      </c>
      <c r="K27" s="2" t="n">
        <f aca="false">IF(C27=1,(a_pkg_longest_mm&lt;=D27)*(a_pkg_mid_mm&lt;=E27)*(a_pkg_shortest_mm&lt;=F27)*(a_package_weight_g&lt;=H27),(a_pkg_girth_cm&lt;=G27)*(a_package_weight_g&lt;=H27))</f>
        <v>1</v>
      </c>
      <c r="L27" s="1"/>
      <c r="M27" s="1"/>
      <c r="N27" s="1"/>
      <c r="O27" s="1"/>
      <c r="P27" s="1"/>
      <c r="Q27" s="1"/>
      <c r="R27" s="1"/>
      <c r="S27" s="1"/>
    </row>
    <row r="28" customFormat="false" ht="15" hidden="false" customHeight="false" outlineLevel="0" collapsed="false">
      <c r="A28" s="1"/>
      <c r="B28" s="51" t="s">
        <v>424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240</v>
      </c>
      <c r="H28" s="31" t="n">
        <v>50000</v>
      </c>
      <c r="I28" s="30" t="n">
        <v>4496</v>
      </c>
      <c r="J28" s="30" t="n">
        <v>4430</v>
      </c>
      <c r="K28" s="31" t="n">
        <f aca="false">IF(C28=1,(a_pkg_longest_mm&lt;=D28)*(a_pkg_mid_mm&lt;=E28)*(a_pkg_shortest_mm&lt;=F28)*(a_package_weight_g&lt;=H28),(a_pkg_girth_cm&lt;=G28)*(a_package_weight_g&lt;=H28))</f>
        <v>1</v>
      </c>
      <c r="L28" s="1"/>
      <c r="M28" s="1"/>
      <c r="N28" s="1"/>
      <c r="O28" s="1"/>
      <c r="P28" s="1"/>
      <c r="Q28" s="1"/>
      <c r="R28" s="1"/>
      <c r="S28" s="1"/>
    </row>
    <row r="29" customFormat="false" ht="15" hidden="false" customHeight="false" outlineLevel="0" collapsed="false">
      <c r="A29" s="1"/>
      <c r="B29" s="50" t="s">
        <v>425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260</v>
      </c>
      <c r="H29" s="2" t="n">
        <v>50000</v>
      </c>
      <c r="I29" s="19" t="n">
        <v>5625</v>
      </c>
      <c r="J29" s="19" t="n">
        <v>5559</v>
      </c>
      <c r="K29" s="2" t="n">
        <f aca="false">IF(C29=1,(a_pkg_longest_mm&lt;=D29)*(a_pkg_mid_mm&lt;=E29)*(a_pkg_shortest_mm&lt;=F29)*(a_package_weight_g&lt;=H29),(a_pkg_girth_cm&lt;=G29)*(a_package_weight_g&lt;=H29))</f>
        <v>1</v>
      </c>
      <c r="L29" s="1"/>
      <c r="M29" s="1"/>
      <c r="N29" s="1"/>
      <c r="O29" s="1"/>
      <c r="P29" s="1"/>
      <c r="Q29" s="1"/>
      <c r="R29" s="1"/>
      <c r="S29" s="1"/>
    </row>
    <row r="30" customFormat="false" ht="15" hidden="false" customHeight="false" outlineLevel="0" collapsed="false">
      <c r="A30" s="1"/>
      <c r="B30" s="51" t="s">
        <v>426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400</v>
      </c>
      <c r="H30" s="31" t="n">
        <v>50000</v>
      </c>
      <c r="I30" s="30" t="n">
        <v>13950</v>
      </c>
      <c r="J30" s="30" t="n">
        <v>13884</v>
      </c>
      <c r="K30" s="31" t="n">
        <f aca="false">1</f>
        <v>1</v>
      </c>
      <c r="L30" s="1"/>
      <c r="M30" s="1"/>
      <c r="N30" s="1"/>
      <c r="O30" s="1"/>
      <c r="P30" s="1"/>
      <c r="Q30" s="1"/>
      <c r="R30" s="1"/>
      <c r="S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customFormat="false" ht="24" hidden="false" customHeight="true" outlineLevel="0" collapsed="false">
      <c r="A32" s="1"/>
      <c r="B32" s="10" t="s">
        <v>427</v>
      </c>
      <c r="C32" s="10"/>
      <c r="D32" s="10"/>
      <c r="E32" s="10"/>
      <c r="F32" s="10"/>
      <c r="G32" s="10"/>
      <c r="H32" s="10"/>
      <c r="I32" s="10"/>
      <c r="J32" s="10"/>
      <c r="K32" s="10"/>
      <c r="L32" s="1"/>
      <c r="M32" s="1"/>
      <c r="N32" s="1"/>
      <c r="O32" s="1"/>
      <c r="P32" s="1"/>
      <c r="Q32" s="1"/>
      <c r="R32" s="1"/>
      <c r="S32" s="1"/>
    </row>
    <row r="33" customFormat="false" ht="15" hidden="false" customHeight="false" outlineLevel="0" collapsed="false">
      <c r="A33" s="1"/>
      <c r="B33" s="17" t="s">
        <v>428</v>
      </c>
      <c r="C33" s="52" t="s">
        <v>429</v>
      </c>
      <c r="D33" s="18" t="s">
        <v>430</v>
      </c>
      <c r="E33" s="18" t="s">
        <v>431</v>
      </c>
      <c r="F33" s="18" t="s">
        <v>432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customFormat="false" ht="15" hidden="false" customHeight="false" outlineLevel="0" collapsed="false">
      <c r="A34" s="1"/>
      <c r="B34" s="19" t="s">
        <v>175</v>
      </c>
      <c r="C34" s="53" t="s">
        <v>433</v>
      </c>
      <c r="D34" s="54" t="n">
        <v>0.05</v>
      </c>
      <c r="E34" s="54" t="n">
        <v>0.084</v>
      </c>
      <c r="F34" s="54" t="n">
        <v>0.104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customFormat="false" ht="15" hidden="false" customHeight="false" outlineLevel="0" collapsed="false">
      <c r="A35" s="1"/>
      <c r="B35" s="30" t="s">
        <v>434</v>
      </c>
      <c r="C35" s="55" t="s">
        <v>435</v>
      </c>
      <c r="D35" s="56" t="n">
        <v>0.05</v>
      </c>
      <c r="E35" s="56" t="n">
        <v>0.084</v>
      </c>
      <c r="F35" s="56" t="n">
        <v>0.104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customFormat="false" ht="15" hidden="false" customHeight="false" outlineLevel="0" collapsed="false">
      <c r="A36" s="1"/>
      <c r="B36" s="19" t="s">
        <v>436</v>
      </c>
      <c r="C36" s="53" t="s">
        <v>437</v>
      </c>
      <c r="D36" s="54" t="n">
        <v>0.05</v>
      </c>
      <c r="E36" s="54" t="n">
        <v>0.084</v>
      </c>
      <c r="F36" s="54" t="n">
        <v>0.104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customFormat="false" ht="15" hidden="false" customHeight="false" outlineLevel="0" collapsed="false">
      <c r="A37" s="1"/>
      <c r="B37" s="30" t="s">
        <v>438</v>
      </c>
      <c r="C37" s="55" t="s">
        <v>439</v>
      </c>
      <c r="D37" s="56" t="n">
        <v>0.05</v>
      </c>
      <c r="E37" s="56" t="n">
        <v>0.084</v>
      </c>
      <c r="F37" s="56" t="n">
        <v>0.154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customFormat="false" ht="15" hidden="false" customHeight="false" outlineLevel="0" collapsed="false">
      <c r="A38" s="1"/>
      <c r="B38" s="19" t="s">
        <v>440</v>
      </c>
      <c r="C38" s="53" t="s">
        <v>441</v>
      </c>
      <c r="D38" s="54" t="n">
        <v>0.05</v>
      </c>
      <c r="E38" s="54" t="n">
        <v>0.084</v>
      </c>
      <c r="F38" s="54" t="n">
        <v>0.154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customFormat="false" ht="15" hidden="false" customHeight="false" outlineLevel="0" collapsed="false">
      <c r="A39" s="1"/>
      <c r="B39" s="30" t="s">
        <v>442</v>
      </c>
      <c r="C39" s="55" t="s">
        <v>443</v>
      </c>
      <c r="D39" s="56" t="n">
        <v>0.05</v>
      </c>
      <c r="E39" s="56" t="n">
        <v>0.104</v>
      </c>
      <c r="F39" s="56" t="n">
        <v>0.104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customFormat="false" ht="15" hidden="false" customHeight="false" outlineLevel="0" collapsed="false">
      <c r="A40" s="1"/>
      <c r="B40" s="19" t="s">
        <v>444</v>
      </c>
      <c r="C40" s="53" t="s">
        <v>445</v>
      </c>
      <c r="D40" s="54" t="n">
        <v>0.05</v>
      </c>
      <c r="E40" s="54" t="n">
        <v>0.154</v>
      </c>
      <c r="F40" s="54" t="n">
        <v>0.154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customFormat="false" ht="15" hidden="false" customHeight="false" outlineLevel="0" collapsed="false">
      <c r="A41" s="1"/>
      <c r="B41" s="30" t="s">
        <v>446</v>
      </c>
      <c r="C41" s="55" t="s">
        <v>447</v>
      </c>
      <c r="D41" s="56" t="n">
        <v>0.05</v>
      </c>
      <c r="E41" s="56" t="n">
        <v>0.104</v>
      </c>
      <c r="F41" s="56" t="n">
        <v>0.104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customFormat="false" ht="15" hidden="false" customHeight="false" outlineLevel="0" collapsed="false">
      <c r="A42" s="1"/>
      <c r="B42" s="19" t="s">
        <v>448</v>
      </c>
      <c r="C42" s="53" t="s">
        <v>449</v>
      </c>
      <c r="D42" s="54" t="n">
        <v>0.05</v>
      </c>
      <c r="E42" s="54" t="n">
        <v>0.104</v>
      </c>
      <c r="F42" s="54" t="n">
        <v>0.104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customFormat="false" ht="15" hidden="false" customHeight="false" outlineLevel="0" collapsed="false">
      <c r="A43" s="1"/>
      <c r="B43" s="30" t="s">
        <v>450</v>
      </c>
      <c r="C43" s="55" t="s">
        <v>451</v>
      </c>
      <c r="D43" s="56" t="n">
        <v>0.05</v>
      </c>
      <c r="E43" s="56" t="n">
        <v>0.154</v>
      </c>
      <c r="F43" s="56" t="n">
        <v>0.154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customFormat="false" ht="15" hidden="false" customHeight="false" outlineLevel="0" collapsed="false">
      <c r="A44" s="1"/>
      <c r="B44" s="19" t="s">
        <v>452</v>
      </c>
      <c r="C44" s="53" t="s">
        <v>453</v>
      </c>
      <c r="D44" s="54" t="n">
        <v>0.05</v>
      </c>
      <c r="E44" s="54" t="n">
        <v>0.154</v>
      </c>
      <c r="F44" s="54" t="n">
        <v>0.154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customFormat="false" ht="15" hidden="false" customHeight="false" outlineLevel="0" collapsed="false">
      <c r="A45" s="1"/>
      <c r="B45" s="30" t="s">
        <v>454</v>
      </c>
      <c r="C45" s="55" t="s">
        <v>455</v>
      </c>
      <c r="D45" s="56" t="n">
        <v>0.05</v>
      </c>
      <c r="E45" s="56" t="n">
        <v>0.154</v>
      </c>
      <c r="F45" s="56" t="n">
        <v>0.154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</sheetData>
  <mergeCells count="2">
    <mergeCell ref="B7:K7"/>
    <mergeCell ref="B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12D"/>
    <pageSetUpPr fitToPage="false"/>
  </sheetPr>
  <dimension ref="A1:AT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8" min="3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4" t="str">
        <f aca="false">"Currency: "&amp;a_currency&amp;"  ·  switch on the Dashboard"</f>
        <v>Currency: JPY  ·  switch on the Dashboard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customFormat="false" ht="30" hidden="false" customHeight="true" outlineLevel="0" collapsed="false">
      <c r="A4" s="1"/>
      <c r="B4" s="3" t="s">
        <v>456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customFormat="false" ht="15" hidden="false" customHeight="false" outlineLevel="0" collapsed="false">
      <c r="A5" s="1"/>
      <c r="B5" s="25" t="s">
        <v>457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customFormat="false" ht="15" hidden="false" customHeight="false" outlineLevel="0" collapsed="false">
      <c r="A7" s="1"/>
      <c r="B7" s="57" t="s">
        <v>458</v>
      </c>
      <c r="C7" s="45" t="s">
        <v>459</v>
      </c>
      <c r="D7" s="45" t="s">
        <v>460</v>
      </c>
      <c r="E7" s="45" t="s">
        <v>461</v>
      </c>
      <c r="F7" s="45" t="s">
        <v>462</v>
      </c>
      <c r="G7" s="45" t="s">
        <v>463</v>
      </c>
      <c r="H7" s="45" t="s">
        <v>464</v>
      </c>
      <c r="I7" s="45" t="s">
        <v>465</v>
      </c>
      <c r="J7" s="45" t="s">
        <v>466</v>
      </c>
      <c r="K7" s="45" t="s">
        <v>467</v>
      </c>
      <c r="L7" s="45" t="s">
        <v>468</v>
      </c>
      <c r="M7" s="45" t="s">
        <v>469</v>
      </c>
      <c r="N7" s="45" t="s">
        <v>470</v>
      </c>
      <c r="O7" s="45" t="s">
        <v>471</v>
      </c>
      <c r="P7" s="45" t="s">
        <v>472</v>
      </c>
      <c r="Q7" s="45" t="s">
        <v>473</v>
      </c>
      <c r="R7" s="45" t="s">
        <v>474</v>
      </c>
      <c r="S7" s="45" t="s">
        <v>475</v>
      </c>
      <c r="T7" s="45" t="s">
        <v>476</v>
      </c>
      <c r="U7" s="45" t="s">
        <v>477</v>
      </c>
      <c r="V7" s="45" t="s">
        <v>478</v>
      </c>
      <c r="W7" s="45" t="s">
        <v>479</v>
      </c>
      <c r="X7" s="45" t="s">
        <v>480</v>
      </c>
      <c r="Y7" s="45" t="s">
        <v>481</v>
      </c>
      <c r="Z7" s="45" t="s">
        <v>482</v>
      </c>
      <c r="AA7" s="45" t="s">
        <v>483</v>
      </c>
      <c r="AB7" s="45" t="s">
        <v>484</v>
      </c>
      <c r="AC7" s="45" t="s">
        <v>485</v>
      </c>
      <c r="AD7" s="45" t="s">
        <v>486</v>
      </c>
      <c r="AE7" s="45" t="s">
        <v>487</v>
      </c>
      <c r="AF7" s="45" t="s">
        <v>488</v>
      </c>
      <c r="AG7" s="45" t="s">
        <v>489</v>
      </c>
      <c r="AH7" s="45" t="s">
        <v>490</v>
      </c>
      <c r="AI7" s="45" t="s">
        <v>491</v>
      </c>
      <c r="AJ7" s="45" t="s">
        <v>492</v>
      </c>
      <c r="AK7" s="45" t="s">
        <v>493</v>
      </c>
      <c r="AL7" s="45" t="s">
        <v>494</v>
      </c>
      <c r="AM7" s="1"/>
      <c r="AN7" s="1"/>
      <c r="AO7" s="1"/>
      <c r="AP7" s="1"/>
      <c r="AQ7" s="1"/>
      <c r="AR7" s="1"/>
      <c r="AS7" s="1"/>
      <c r="AT7" s="1"/>
    </row>
    <row r="8" customFormat="false" ht="15" hidden="false" customHeight="false" outlineLevel="0" collapsed="false">
      <c r="A8" s="1"/>
      <c r="B8" s="47" t="s">
        <v>495</v>
      </c>
      <c r="C8" s="58" t="n">
        <f aca="false">a_units_360d/12*INDEX(a_seasonality,8)*1</f>
        <v>1500</v>
      </c>
      <c r="D8" s="58" t="n">
        <f aca="false">a_units_360d/12*INDEX(a_seasonality,9)*1</f>
        <v>1500</v>
      </c>
      <c r="E8" s="58" t="n">
        <f aca="false">a_units_360d/12*INDEX(a_seasonality,10)*1</f>
        <v>1500</v>
      </c>
      <c r="F8" s="58" t="n">
        <f aca="false">a_units_360d/12*INDEX(a_seasonality,11)*1</f>
        <v>1500</v>
      </c>
      <c r="G8" s="58" t="n">
        <f aca="false">a_units_360d/12*INDEX(a_seasonality,12)*1</f>
        <v>1500</v>
      </c>
      <c r="H8" s="58" t="n">
        <f aca="false">a_units_360d/12*INDEX(a_seasonality,1)*1</f>
        <v>1500</v>
      </c>
      <c r="I8" s="58" t="n">
        <f aca="false">a_units_360d/12*INDEX(a_seasonality,2)*1</f>
        <v>1500</v>
      </c>
      <c r="J8" s="58" t="n">
        <f aca="false">a_units_360d/12*INDEX(a_seasonality,3)*1</f>
        <v>1500</v>
      </c>
      <c r="K8" s="58" t="n">
        <f aca="false">a_units_360d/12*INDEX(a_seasonality,4)*1</f>
        <v>1500</v>
      </c>
      <c r="L8" s="58" t="n">
        <f aca="false">a_units_360d/12*INDEX(a_seasonality,5)*1</f>
        <v>1500</v>
      </c>
      <c r="M8" s="58" t="n">
        <f aca="false">a_units_360d/12*INDEX(a_seasonality,6)*1</f>
        <v>1500</v>
      </c>
      <c r="N8" s="58" t="n">
        <f aca="false">a_units_360d/12*INDEX(a_seasonality,7)*1</f>
        <v>1500</v>
      </c>
      <c r="O8" s="58" t="n">
        <f aca="false">a_units_360d/12*INDEX(a_seasonality,8)*(1+a_demand_growth_y2)</f>
        <v>1815</v>
      </c>
      <c r="P8" s="58" t="n">
        <f aca="false">a_units_360d/12*INDEX(a_seasonality,9)*(1+a_demand_growth_y2)</f>
        <v>1815</v>
      </c>
      <c r="Q8" s="58" t="n">
        <f aca="false">a_units_360d/12*INDEX(a_seasonality,10)*(1+a_demand_growth_y2)</f>
        <v>1815</v>
      </c>
      <c r="R8" s="58" t="n">
        <f aca="false">a_units_360d/12*INDEX(a_seasonality,11)*(1+a_demand_growth_y2)</f>
        <v>1815</v>
      </c>
      <c r="S8" s="58" t="n">
        <f aca="false">a_units_360d/12*INDEX(a_seasonality,12)*(1+a_demand_growth_y2)</f>
        <v>1815</v>
      </c>
      <c r="T8" s="58" t="n">
        <f aca="false">a_units_360d/12*INDEX(a_seasonality,1)*(1+a_demand_growth_y2)</f>
        <v>1815</v>
      </c>
      <c r="U8" s="58" t="n">
        <f aca="false">a_units_360d/12*INDEX(a_seasonality,2)*(1+a_demand_growth_y2)</f>
        <v>1815</v>
      </c>
      <c r="V8" s="58" t="n">
        <f aca="false">a_units_360d/12*INDEX(a_seasonality,3)*(1+a_demand_growth_y2)</f>
        <v>1815</v>
      </c>
      <c r="W8" s="58" t="n">
        <f aca="false">a_units_360d/12*INDEX(a_seasonality,4)*(1+a_demand_growth_y2)</f>
        <v>1815</v>
      </c>
      <c r="X8" s="58" t="n">
        <f aca="false">a_units_360d/12*INDEX(a_seasonality,5)*(1+a_demand_growth_y2)</f>
        <v>1815</v>
      </c>
      <c r="Y8" s="58" t="n">
        <f aca="false">a_units_360d/12*INDEX(a_seasonality,6)*(1+a_demand_growth_y2)</f>
        <v>1815</v>
      </c>
      <c r="Z8" s="58" t="n">
        <f aca="false">a_units_360d/12*INDEX(a_seasonality,7)*(1+a_demand_growth_y2)</f>
        <v>1815</v>
      </c>
      <c r="AA8" s="58" t="n">
        <f aca="false">a_units_360d/12*INDEX(a_seasonality,8)*(1+a_demand_growth_y2)*(1+a_demand_growth_y3)</f>
        <v>2196.15</v>
      </c>
      <c r="AB8" s="58" t="n">
        <f aca="false">a_units_360d/12*INDEX(a_seasonality,9)*(1+a_demand_growth_y2)*(1+a_demand_growth_y3)</f>
        <v>2196.15</v>
      </c>
      <c r="AC8" s="58" t="n">
        <f aca="false">a_units_360d/12*INDEX(a_seasonality,10)*(1+a_demand_growth_y2)*(1+a_demand_growth_y3)</f>
        <v>2196.15</v>
      </c>
      <c r="AD8" s="58" t="n">
        <f aca="false">a_units_360d/12*INDEX(a_seasonality,11)*(1+a_demand_growth_y2)*(1+a_demand_growth_y3)</f>
        <v>2196.15</v>
      </c>
      <c r="AE8" s="58" t="n">
        <f aca="false">a_units_360d/12*INDEX(a_seasonality,12)*(1+a_demand_growth_y2)*(1+a_demand_growth_y3)</f>
        <v>2196.15</v>
      </c>
      <c r="AF8" s="58" t="n">
        <f aca="false">a_units_360d/12*INDEX(a_seasonality,1)*(1+a_demand_growth_y2)*(1+a_demand_growth_y3)</f>
        <v>2196.15</v>
      </c>
      <c r="AG8" s="58" t="n">
        <f aca="false">a_units_360d/12*INDEX(a_seasonality,2)*(1+a_demand_growth_y2)*(1+a_demand_growth_y3)</f>
        <v>2196.15</v>
      </c>
      <c r="AH8" s="58" t="n">
        <f aca="false">a_units_360d/12*INDEX(a_seasonality,3)*(1+a_demand_growth_y2)*(1+a_demand_growth_y3)</f>
        <v>2196.15</v>
      </c>
      <c r="AI8" s="58" t="n">
        <f aca="false">a_units_360d/12*INDEX(a_seasonality,4)*(1+a_demand_growth_y2)*(1+a_demand_growth_y3)</f>
        <v>2196.15</v>
      </c>
      <c r="AJ8" s="58" t="n">
        <f aca="false">a_units_360d/12*INDEX(a_seasonality,5)*(1+a_demand_growth_y2)*(1+a_demand_growth_y3)</f>
        <v>2196.15</v>
      </c>
      <c r="AK8" s="58" t="n">
        <f aca="false">a_units_360d/12*INDEX(a_seasonality,6)*(1+a_demand_growth_y2)*(1+a_demand_growth_y3)</f>
        <v>2196.15</v>
      </c>
      <c r="AL8" s="58" t="n">
        <f aca="false">a_units_360d/12*INDEX(a_seasonality,7)*(1+a_demand_growth_y2)*(1+a_demand_growth_y3)</f>
        <v>2196.15</v>
      </c>
      <c r="AM8" s="1"/>
      <c r="AN8" s="1"/>
      <c r="AO8" s="1"/>
      <c r="AP8" s="1"/>
      <c r="AQ8" s="1"/>
      <c r="AR8" s="1"/>
      <c r="AS8" s="1"/>
      <c r="AT8" s="1"/>
    </row>
    <row r="9" customFormat="false" ht="15" hidden="false" customHeight="false" outlineLevel="0" collapsed="false">
      <c r="A9" s="1"/>
      <c r="B9" s="47" t="s">
        <v>496</v>
      </c>
      <c r="C9" s="59" t="n">
        <f aca="false">MIN(a_act_target_share,a_share_cap)*MIN(1,1/a_ramp_months)</f>
        <v>0.00555555555555556</v>
      </c>
      <c r="D9" s="59" t="n">
        <f aca="false">MIN(a_act_target_share,a_share_cap)*MIN(1,2/a_ramp_months)</f>
        <v>0.0111111111111111</v>
      </c>
      <c r="E9" s="59" t="n">
        <f aca="false">MIN(a_act_target_share,a_share_cap)*MIN(1,3/a_ramp_months)</f>
        <v>0.0166666666666667</v>
      </c>
      <c r="F9" s="59" t="n">
        <f aca="false">MIN(a_act_target_share,a_share_cap)*MIN(1,4/a_ramp_months)</f>
        <v>0.0222222222222222</v>
      </c>
      <c r="G9" s="59" t="n">
        <f aca="false">MIN(a_act_target_share,a_share_cap)*MIN(1,5/a_ramp_months)</f>
        <v>0.0277777777777778</v>
      </c>
      <c r="H9" s="59" t="n">
        <f aca="false">MIN(a_act_target_share,a_share_cap)*MIN(1,6/a_ramp_months)</f>
        <v>0.0333333333333333</v>
      </c>
      <c r="I9" s="59" t="n">
        <f aca="false">MIN(a_act_target_share,a_share_cap)*MIN(1,7/a_ramp_months)</f>
        <v>0.0388888888888889</v>
      </c>
      <c r="J9" s="59" t="n">
        <f aca="false">MIN(a_act_target_share,a_share_cap)*MIN(1,8/a_ramp_months)</f>
        <v>0.0444444444444444</v>
      </c>
      <c r="K9" s="59" t="n">
        <f aca="false">MIN(a_act_target_share,a_share_cap)*MIN(1,9/a_ramp_months)</f>
        <v>0.05</v>
      </c>
      <c r="L9" s="59" t="n">
        <f aca="false">MIN(a_act_target_share,a_share_cap)*MIN(1,10/a_ramp_months)</f>
        <v>0.05</v>
      </c>
      <c r="M9" s="59" t="n">
        <f aca="false">MIN(a_act_target_share,a_share_cap)*MIN(1,11/a_ramp_months)</f>
        <v>0.05</v>
      </c>
      <c r="N9" s="59" t="n">
        <f aca="false">MIN(a_act_target_share,a_share_cap)*MIN(1,12/a_ramp_months)</f>
        <v>0.05</v>
      </c>
      <c r="O9" s="59" t="n">
        <f aca="false">MIN(a_act_target_share,a_share_cap)*MIN(1,13/a_ramp_months)</f>
        <v>0.05</v>
      </c>
      <c r="P9" s="59" t="n">
        <f aca="false">MIN(a_act_target_share,a_share_cap)*MIN(1,14/a_ramp_months)</f>
        <v>0.05</v>
      </c>
      <c r="Q9" s="59" t="n">
        <f aca="false">MIN(a_act_target_share,a_share_cap)*MIN(1,15/a_ramp_months)</f>
        <v>0.05</v>
      </c>
      <c r="R9" s="59" t="n">
        <f aca="false">MIN(a_act_target_share,a_share_cap)*MIN(1,16/a_ramp_months)</f>
        <v>0.05</v>
      </c>
      <c r="S9" s="59" t="n">
        <f aca="false">MIN(a_act_target_share,a_share_cap)*MIN(1,17/a_ramp_months)</f>
        <v>0.05</v>
      </c>
      <c r="T9" s="59" t="n">
        <f aca="false">MIN(a_act_target_share,a_share_cap)*MIN(1,18/a_ramp_months)</f>
        <v>0.05</v>
      </c>
      <c r="U9" s="59" t="n">
        <f aca="false">MIN(a_act_target_share,a_share_cap)*MIN(1,19/a_ramp_months)</f>
        <v>0.05</v>
      </c>
      <c r="V9" s="59" t="n">
        <f aca="false">MIN(a_act_target_share,a_share_cap)*MIN(1,20/a_ramp_months)</f>
        <v>0.05</v>
      </c>
      <c r="W9" s="59" t="n">
        <f aca="false">MIN(a_act_target_share,a_share_cap)*MIN(1,21/a_ramp_months)</f>
        <v>0.05</v>
      </c>
      <c r="X9" s="59" t="n">
        <f aca="false">MIN(a_act_target_share,a_share_cap)*MIN(1,22/a_ramp_months)</f>
        <v>0.05</v>
      </c>
      <c r="Y9" s="59" t="n">
        <f aca="false">MIN(a_act_target_share,a_share_cap)*MIN(1,23/a_ramp_months)</f>
        <v>0.05</v>
      </c>
      <c r="Z9" s="59" t="n">
        <f aca="false">MIN(a_act_target_share,a_share_cap)*MIN(1,24/a_ramp_months)</f>
        <v>0.05</v>
      </c>
      <c r="AA9" s="59" t="n">
        <f aca="false">MIN(a_act_target_share,a_share_cap)*MIN(1,25/a_ramp_months)</f>
        <v>0.05</v>
      </c>
      <c r="AB9" s="59" t="n">
        <f aca="false">MIN(a_act_target_share,a_share_cap)*MIN(1,26/a_ramp_months)</f>
        <v>0.05</v>
      </c>
      <c r="AC9" s="59" t="n">
        <f aca="false">MIN(a_act_target_share,a_share_cap)*MIN(1,27/a_ramp_months)</f>
        <v>0.05</v>
      </c>
      <c r="AD9" s="59" t="n">
        <f aca="false">MIN(a_act_target_share,a_share_cap)*MIN(1,28/a_ramp_months)</f>
        <v>0.05</v>
      </c>
      <c r="AE9" s="59" t="n">
        <f aca="false">MIN(a_act_target_share,a_share_cap)*MIN(1,29/a_ramp_months)</f>
        <v>0.05</v>
      </c>
      <c r="AF9" s="59" t="n">
        <f aca="false">MIN(a_act_target_share,a_share_cap)*MIN(1,30/a_ramp_months)</f>
        <v>0.05</v>
      </c>
      <c r="AG9" s="59" t="n">
        <f aca="false">MIN(a_act_target_share,a_share_cap)*MIN(1,31/a_ramp_months)</f>
        <v>0.05</v>
      </c>
      <c r="AH9" s="59" t="n">
        <f aca="false">MIN(a_act_target_share,a_share_cap)*MIN(1,32/a_ramp_months)</f>
        <v>0.05</v>
      </c>
      <c r="AI9" s="59" t="n">
        <f aca="false">MIN(a_act_target_share,a_share_cap)*MIN(1,33/a_ramp_months)</f>
        <v>0.05</v>
      </c>
      <c r="AJ9" s="59" t="n">
        <f aca="false">MIN(a_act_target_share,a_share_cap)*MIN(1,34/a_ramp_months)</f>
        <v>0.05</v>
      </c>
      <c r="AK9" s="59" t="n">
        <f aca="false">MIN(a_act_target_share,a_share_cap)*MIN(1,35/a_ramp_months)</f>
        <v>0.05</v>
      </c>
      <c r="AL9" s="59" t="n">
        <f aca="false">MIN(a_act_target_share,a_share_cap)*MIN(1,36/a_ramp_months)</f>
        <v>0.05</v>
      </c>
      <c r="AM9" s="1"/>
      <c r="AN9" s="1"/>
      <c r="AO9" s="1"/>
      <c r="AP9" s="1"/>
      <c r="AQ9" s="1"/>
      <c r="AR9" s="1"/>
      <c r="AS9" s="1"/>
      <c r="AT9" s="1"/>
    </row>
    <row r="10" customFormat="false" ht="15" hidden="false" customHeight="false" outlineLevel="0" collapsed="false">
      <c r="A10" s="1"/>
      <c r="B10" s="19" t="s">
        <v>497</v>
      </c>
      <c r="C10" s="60" t="n">
        <f aca="false">C8*C9</f>
        <v>8.33333333333333</v>
      </c>
      <c r="D10" s="60" t="n">
        <f aca="false">D8*D9</f>
        <v>16.6666666666667</v>
      </c>
      <c r="E10" s="60" t="n">
        <f aca="false">E8*E9</f>
        <v>25</v>
      </c>
      <c r="F10" s="60" t="n">
        <f aca="false">F8*F9</f>
        <v>33.3333333333333</v>
      </c>
      <c r="G10" s="60" t="n">
        <f aca="false">G8*G9</f>
        <v>41.6666666666667</v>
      </c>
      <c r="H10" s="60" t="n">
        <f aca="false">H8*H9</f>
        <v>50</v>
      </c>
      <c r="I10" s="60" t="n">
        <f aca="false">I8*I9</f>
        <v>58.3333333333333</v>
      </c>
      <c r="J10" s="60" t="n">
        <f aca="false">J8*J9</f>
        <v>66.6666666666667</v>
      </c>
      <c r="K10" s="60" t="n">
        <f aca="false">K8*K9</f>
        <v>75</v>
      </c>
      <c r="L10" s="60" t="n">
        <f aca="false">L8*L9</f>
        <v>75</v>
      </c>
      <c r="M10" s="60" t="n">
        <f aca="false">M8*M9</f>
        <v>75</v>
      </c>
      <c r="N10" s="60" t="n">
        <f aca="false">N8*N9</f>
        <v>75</v>
      </c>
      <c r="O10" s="60" t="n">
        <f aca="false">O8*O9</f>
        <v>90.75</v>
      </c>
      <c r="P10" s="60" t="n">
        <f aca="false">P8*P9</f>
        <v>90.75</v>
      </c>
      <c r="Q10" s="60" t="n">
        <f aca="false">Q8*Q9</f>
        <v>90.75</v>
      </c>
      <c r="R10" s="60" t="n">
        <f aca="false">R8*R9</f>
        <v>90.75</v>
      </c>
      <c r="S10" s="60" t="n">
        <f aca="false">S8*S9</f>
        <v>90.75</v>
      </c>
      <c r="T10" s="60" t="n">
        <f aca="false">T8*T9</f>
        <v>90.75</v>
      </c>
      <c r="U10" s="60" t="n">
        <f aca="false">U8*U9</f>
        <v>90.75</v>
      </c>
      <c r="V10" s="60" t="n">
        <f aca="false">V8*V9</f>
        <v>90.75</v>
      </c>
      <c r="W10" s="60" t="n">
        <f aca="false">W8*W9</f>
        <v>90.75</v>
      </c>
      <c r="X10" s="60" t="n">
        <f aca="false">X8*X9</f>
        <v>90.75</v>
      </c>
      <c r="Y10" s="60" t="n">
        <f aca="false">Y8*Y9</f>
        <v>90.75</v>
      </c>
      <c r="Z10" s="60" t="n">
        <f aca="false">Z8*Z9</f>
        <v>90.75</v>
      </c>
      <c r="AA10" s="60" t="n">
        <f aca="false">AA8*AA9</f>
        <v>109.8075</v>
      </c>
      <c r="AB10" s="60" t="n">
        <f aca="false">AB8*AB9</f>
        <v>109.8075</v>
      </c>
      <c r="AC10" s="60" t="n">
        <f aca="false">AC8*AC9</f>
        <v>109.8075</v>
      </c>
      <c r="AD10" s="60" t="n">
        <f aca="false">AD8*AD9</f>
        <v>109.8075</v>
      </c>
      <c r="AE10" s="60" t="n">
        <f aca="false">AE8*AE9</f>
        <v>109.8075</v>
      </c>
      <c r="AF10" s="60" t="n">
        <f aca="false">AF8*AF9</f>
        <v>109.8075</v>
      </c>
      <c r="AG10" s="60" t="n">
        <f aca="false">AG8*AG9</f>
        <v>109.8075</v>
      </c>
      <c r="AH10" s="60" t="n">
        <f aca="false">AH8*AH9</f>
        <v>109.8075</v>
      </c>
      <c r="AI10" s="60" t="n">
        <f aca="false">AI8*AI9</f>
        <v>109.8075</v>
      </c>
      <c r="AJ10" s="60" t="n">
        <f aca="false">AJ8*AJ9</f>
        <v>109.8075</v>
      </c>
      <c r="AK10" s="60" t="n">
        <f aca="false">AK8*AK9</f>
        <v>109.8075</v>
      </c>
      <c r="AL10" s="60" t="n">
        <f aca="false">AL8*AL9</f>
        <v>109.8075</v>
      </c>
      <c r="AM10" s="1"/>
      <c r="AN10" s="1"/>
      <c r="AO10" s="1"/>
      <c r="AP10" s="1"/>
      <c r="AQ10" s="1"/>
      <c r="AR10" s="1"/>
      <c r="AS10" s="1"/>
      <c r="AT10" s="1"/>
    </row>
    <row r="11" customFormat="false" ht="15" hidden="false" customHeight="false" outlineLevel="0" collapsed="false">
      <c r="A11" s="1"/>
      <c r="B11" s="30" t="s">
        <v>498</v>
      </c>
      <c r="C11" s="61" t="n">
        <f aca="false">a_act_asp_jpy/a_cur_div</f>
        <v>3500</v>
      </c>
      <c r="D11" s="61" t="n">
        <f aca="false">a_act_asp_jpy/a_cur_div</f>
        <v>3500</v>
      </c>
      <c r="E11" s="61" t="n">
        <f aca="false">a_act_asp_jpy/a_cur_div</f>
        <v>3500</v>
      </c>
      <c r="F11" s="61" t="n">
        <f aca="false">a_act_asp_jpy/a_cur_div</f>
        <v>3500</v>
      </c>
      <c r="G11" s="61" t="n">
        <f aca="false">a_act_asp_jpy/a_cur_div</f>
        <v>3500</v>
      </c>
      <c r="H11" s="61" t="n">
        <f aca="false">a_act_asp_jpy/a_cur_div</f>
        <v>3500</v>
      </c>
      <c r="I11" s="61" t="n">
        <f aca="false">a_act_asp_jpy/a_cur_div</f>
        <v>3500</v>
      </c>
      <c r="J11" s="61" t="n">
        <f aca="false">a_act_asp_jpy/a_cur_div</f>
        <v>3500</v>
      </c>
      <c r="K11" s="61" t="n">
        <f aca="false">a_act_asp_jpy/a_cur_div</f>
        <v>3500</v>
      </c>
      <c r="L11" s="61" t="n">
        <f aca="false">a_act_asp_jpy/a_cur_div</f>
        <v>3500</v>
      </c>
      <c r="M11" s="61" t="n">
        <f aca="false">a_act_asp_jpy/a_cur_div</f>
        <v>3500</v>
      </c>
      <c r="N11" s="61" t="n">
        <f aca="false">a_act_asp_jpy/a_cur_div</f>
        <v>3500</v>
      </c>
      <c r="O11" s="61" t="n">
        <f aca="false">a_act_asp_jpy/a_cur_div</f>
        <v>3500</v>
      </c>
      <c r="P11" s="61" t="n">
        <f aca="false">a_act_asp_jpy/a_cur_div</f>
        <v>3500</v>
      </c>
      <c r="Q11" s="61" t="n">
        <f aca="false">a_act_asp_jpy/a_cur_div</f>
        <v>3500</v>
      </c>
      <c r="R11" s="61" t="n">
        <f aca="false">a_act_asp_jpy/a_cur_div</f>
        <v>3500</v>
      </c>
      <c r="S11" s="61" t="n">
        <f aca="false">a_act_asp_jpy/a_cur_div</f>
        <v>3500</v>
      </c>
      <c r="T11" s="61" t="n">
        <f aca="false">a_act_asp_jpy/a_cur_div</f>
        <v>3500</v>
      </c>
      <c r="U11" s="61" t="n">
        <f aca="false">a_act_asp_jpy/a_cur_div</f>
        <v>3500</v>
      </c>
      <c r="V11" s="61" t="n">
        <f aca="false">a_act_asp_jpy/a_cur_div</f>
        <v>3500</v>
      </c>
      <c r="W11" s="61" t="n">
        <f aca="false">a_act_asp_jpy/a_cur_div</f>
        <v>3500</v>
      </c>
      <c r="X11" s="61" t="n">
        <f aca="false">a_act_asp_jpy/a_cur_div</f>
        <v>3500</v>
      </c>
      <c r="Y11" s="61" t="n">
        <f aca="false">a_act_asp_jpy/a_cur_div</f>
        <v>3500</v>
      </c>
      <c r="Z11" s="61" t="n">
        <f aca="false">a_act_asp_jpy/a_cur_div</f>
        <v>3500</v>
      </c>
      <c r="AA11" s="61" t="n">
        <f aca="false">a_act_asp_jpy/a_cur_div</f>
        <v>3500</v>
      </c>
      <c r="AB11" s="61" t="n">
        <f aca="false">a_act_asp_jpy/a_cur_div</f>
        <v>3500</v>
      </c>
      <c r="AC11" s="61" t="n">
        <f aca="false">a_act_asp_jpy/a_cur_div</f>
        <v>3500</v>
      </c>
      <c r="AD11" s="61" t="n">
        <f aca="false">a_act_asp_jpy/a_cur_div</f>
        <v>3500</v>
      </c>
      <c r="AE11" s="61" t="n">
        <f aca="false">a_act_asp_jpy/a_cur_div</f>
        <v>3500</v>
      </c>
      <c r="AF11" s="61" t="n">
        <f aca="false">a_act_asp_jpy/a_cur_div</f>
        <v>3500</v>
      </c>
      <c r="AG11" s="61" t="n">
        <f aca="false">a_act_asp_jpy/a_cur_div</f>
        <v>3500</v>
      </c>
      <c r="AH11" s="61" t="n">
        <f aca="false">a_act_asp_jpy/a_cur_div</f>
        <v>3500</v>
      </c>
      <c r="AI11" s="61" t="n">
        <f aca="false">a_act_asp_jpy/a_cur_div</f>
        <v>3500</v>
      </c>
      <c r="AJ11" s="61" t="n">
        <f aca="false">a_act_asp_jpy/a_cur_div</f>
        <v>3500</v>
      </c>
      <c r="AK11" s="61" t="n">
        <f aca="false">a_act_asp_jpy/a_cur_div</f>
        <v>3500</v>
      </c>
      <c r="AL11" s="61" t="n">
        <f aca="false">a_act_asp_jpy/a_cur_div</f>
        <v>3500</v>
      </c>
      <c r="AM11" s="1"/>
      <c r="AN11" s="1"/>
      <c r="AO11" s="1"/>
      <c r="AP11" s="1"/>
      <c r="AQ11" s="1"/>
      <c r="AR11" s="1"/>
      <c r="AS11" s="1"/>
      <c r="AT11" s="1"/>
    </row>
    <row r="12" customFormat="false" ht="15" hidden="false" customHeight="false" outlineLevel="0" collapsed="false">
      <c r="A12" s="1"/>
      <c r="B12" s="19" t="s">
        <v>499</v>
      </c>
      <c r="C12" s="62" t="n">
        <f aca="false">C10*C11</f>
        <v>29166.6666666667</v>
      </c>
      <c r="D12" s="62" t="n">
        <f aca="false">D10*D11</f>
        <v>58333.3333333333</v>
      </c>
      <c r="E12" s="62" t="n">
        <f aca="false">E10*E11</f>
        <v>87500</v>
      </c>
      <c r="F12" s="62" t="n">
        <f aca="false">F10*F11</f>
        <v>116666.666666667</v>
      </c>
      <c r="G12" s="62" t="n">
        <f aca="false">G10*G11</f>
        <v>145833.333333333</v>
      </c>
      <c r="H12" s="62" t="n">
        <f aca="false">H10*H11</f>
        <v>175000</v>
      </c>
      <c r="I12" s="62" t="n">
        <f aca="false">I10*I11</f>
        <v>204166.666666667</v>
      </c>
      <c r="J12" s="62" t="n">
        <f aca="false">J10*J11</f>
        <v>233333.333333333</v>
      </c>
      <c r="K12" s="62" t="n">
        <f aca="false">K10*K11</f>
        <v>262500</v>
      </c>
      <c r="L12" s="62" t="n">
        <f aca="false">L10*L11</f>
        <v>262500</v>
      </c>
      <c r="M12" s="62" t="n">
        <f aca="false">M10*M11</f>
        <v>262500</v>
      </c>
      <c r="N12" s="62" t="n">
        <f aca="false">N10*N11</f>
        <v>262500</v>
      </c>
      <c r="O12" s="62" t="n">
        <f aca="false">O10*O11</f>
        <v>317625</v>
      </c>
      <c r="P12" s="62" t="n">
        <f aca="false">P10*P11</f>
        <v>317625</v>
      </c>
      <c r="Q12" s="62" t="n">
        <f aca="false">Q10*Q11</f>
        <v>317625</v>
      </c>
      <c r="R12" s="62" t="n">
        <f aca="false">R10*R11</f>
        <v>317625</v>
      </c>
      <c r="S12" s="62" t="n">
        <f aca="false">S10*S11</f>
        <v>317625</v>
      </c>
      <c r="T12" s="62" t="n">
        <f aca="false">T10*T11</f>
        <v>317625</v>
      </c>
      <c r="U12" s="62" t="n">
        <f aca="false">U10*U11</f>
        <v>317625</v>
      </c>
      <c r="V12" s="62" t="n">
        <f aca="false">V10*V11</f>
        <v>317625</v>
      </c>
      <c r="W12" s="62" t="n">
        <f aca="false">W10*W11</f>
        <v>317625</v>
      </c>
      <c r="X12" s="62" t="n">
        <f aca="false">X10*X11</f>
        <v>317625</v>
      </c>
      <c r="Y12" s="62" t="n">
        <f aca="false">Y10*Y11</f>
        <v>317625</v>
      </c>
      <c r="Z12" s="62" t="n">
        <f aca="false">Z10*Z11</f>
        <v>317625</v>
      </c>
      <c r="AA12" s="62" t="n">
        <f aca="false">AA10*AA11</f>
        <v>384326.25</v>
      </c>
      <c r="AB12" s="62" t="n">
        <f aca="false">AB10*AB11</f>
        <v>384326.25</v>
      </c>
      <c r="AC12" s="62" t="n">
        <f aca="false">AC10*AC11</f>
        <v>384326.25</v>
      </c>
      <c r="AD12" s="62" t="n">
        <f aca="false">AD10*AD11</f>
        <v>384326.25</v>
      </c>
      <c r="AE12" s="62" t="n">
        <f aca="false">AE10*AE11</f>
        <v>384326.25</v>
      </c>
      <c r="AF12" s="62" t="n">
        <f aca="false">AF10*AF11</f>
        <v>384326.25</v>
      </c>
      <c r="AG12" s="62" t="n">
        <f aca="false">AG10*AG11</f>
        <v>384326.25</v>
      </c>
      <c r="AH12" s="62" t="n">
        <f aca="false">AH10*AH11</f>
        <v>384326.25</v>
      </c>
      <c r="AI12" s="62" t="n">
        <f aca="false">AI10*AI11</f>
        <v>384326.25</v>
      </c>
      <c r="AJ12" s="62" t="n">
        <f aca="false">AJ10*AJ11</f>
        <v>384326.25</v>
      </c>
      <c r="AK12" s="62" t="n">
        <f aca="false">AK10*AK11</f>
        <v>384326.25</v>
      </c>
      <c r="AL12" s="62" t="n">
        <f aca="false">AL10*AL11</f>
        <v>384326.25</v>
      </c>
      <c r="AM12" s="1"/>
      <c r="AN12" s="1"/>
      <c r="AO12" s="1"/>
      <c r="AP12" s="1"/>
      <c r="AQ12" s="1"/>
      <c r="AR12" s="1"/>
      <c r="AS12" s="1"/>
      <c r="AT12" s="1"/>
    </row>
    <row r="13" customFormat="false" ht="15" hidden="false" customHeight="false" outlineLevel="0" collapsed="false">
      <c r="A13" s="1"/>
      <c r="B13" s="30" t="s">
        <v>500</v>
      </c>
      <c r="C13" s="61" t="n">
        <f aca="false">-C12*a_jct_rate_output/(1+a_jct_rate_output)</f>
        <v>-2651.51515151515</v>
      </c>
      <c r="D13" s="61" t="n">
        <f aca="false">-D12*a_jct_rate_output/(1+a_jct_rate_output)</f>
        <v>-5303.0303030303</v>
      </c>
      <c r="E13" s="61" t="n">
        <f aca="false">-E12*a_jct_rate_output/(1+a_jct_rate_output)</f>
        <v>-7954.54545454545</v>
      </c>
      <c r="F13" s="61" t="n">
        <f aca="false">-F12*a_jct_rate_output/(1+a_jct_rate_output)</f>
        <v>-10606.0606060606</v>
      </c>
      <c r="G13" s="61" t="n">
        <f aca="false">-G12*a_jct_rate_output/(1+a_jct_rate_output)</f>
        <v>-13257.5757575758</v>
      </c>
      <c r="H13" s="61" t="n">
        <f aca="false">-H12*a_jct_rate_output/(1+a_jct_rate_output)</f>
        <v>-15909.0909090909</v>
      </c>
      <c r="I13" s="61" t="n">
        <f aca="false">-I12*a_jct_rate_output/(1+a_jct_rate_output)</f>
        <v>-18560.6060606061</v>
      </c>
      <c r="J13" s="61" t="n">
        <f aca="false">-J12*a_jct_rate_output/(1+a_jct_rate_output)</f>
        <v>-21212.1212121212</v>
      </c>
      <c r="K13" s="61" t="n">
        <f aca="false">-K12*a_jct_rate_output/(1+a_jct_rate_output)</f>
        <v>-23863.6363636364</v>
      </c>
      <c r="L13" s="61" t="n">
        <f aca="false">-L12*a_jct_rate_output/(1+a_jct_rate_output)</f>
        <v>-23863.6363636364</v>
      </c>
      <c r="M13" s="61" t="n">
        <f aca="false">-M12*a_jct_rate_output/(1+a_jct_rate_output)</f>
        <v>-23863.6363636364</v>
      </c>
      <c r="N13" s="61" t="n">
        <f aca="false">-N12*a_jct_rate_output/(1+a_jct_rate_output)</f>
        <v>-23863.6363636364</v>
      </c>
      <c r="O13" s="61" t="n">
        <f aca="false">-O12*a_jct_rate_output/(1+a_jct_rate_output)</f>
        <v>-28875</v>
      </c>
      <c r="P13" s="61" t="n">
        <f aca="false">-P12*a_jct_rate_output/(1+a_jct_rate_output)</f>
        <v>-28875</v>
      </c>
      <c r="Q13" s="61" t="n">
        <f aca="false">-Q12*a_jct_rate_output/(1+a_jct_rate_output)</f>
        <v>-28875</v>
      </c>
      <c r="R13" s="61" t="n">
        <f aca="false">-R12*a_jct_rate_output/(1+a_jct_rate_output)</f>
        <v>-28875</v>
      </c>
      <c r="S13" s="61" t="n">
        <f aca="false">-S12*a_jct_rate_output/(1+a_jct_rate_output)</f>
        <v>-28875</v>
      </c>
      <c r="T13" s="61" t="n">
        <f aca="false">-T12*a_jct_rate_output/(1+a_jct_rate_output)</f>
        <v>-28875</v>
      </c>
      <c r="U13" s="61" t="n">
        <f aca="false">-U12*a_jct_rate_output/(1+a_jct_rate_output)</f>
        <v>-28875</v>
      </c>
      <c r="V13" s="61" t="n">
        <f aca="false">-V12*a_jct_rate_output/(1+a_jct_rate_output)</f>
        <v>-28875</v>
      </c>
      <c r="W13" s="61" t="n">
        <f aca="false">-W12*a_jct_rate_output/(1+a_jct_rate_output)</f>
        <v>-28875</v>
      </c>
      <c r="X13" s="61" t="n">
        <f aca="false">-X12*a_jct_rate_output/(1+a_jct_rate_output)</f>
        <v>-28875</v>
      </c>
      <c r="Y13" s="61" t="n">
        <f aca="false">-Y12*a_jct_rate_output/(1+a_jct_rate_output)</f>
        <v>-28875</v>
      </c>
      <c r="Z13" s="61" t="n">
        <f aca="false">-Z12*a_jct_rate_output/(1+a_jct_rate_output)</f>
        <v>-28875</v>
      </c>
      <c r="AA13" s="61" t="n">
        <f aca="false">-AA12*a_jct_rate_output/(1+a_jct_rate_output)</f>
        <v>-34938.75</v>
      </c>
      <c r="AB13" s="61" t="n">
        <f aca="false">-AB12*a_jct_rate_output/(1+a_jct_rate_output)</f>
        <v>-34938.75</v>
      </c>
      <c r="AC13" s="61" t="n">
        <f aca="false">-AC12*a_jct_rate_output/(1+a_jct_rate_output)</f>
        <v>-34938.75</v>
      </c>
      <c r="AD13" s="61" t="n">
        <f aca="false">-AD12*a_jct_rate_output/(1+a_jct_rate_output)</f>
        <v>-34938.75</v>
      </c>
      <c r="AE13" s="61" t="n">
        <f aca="false">-AE12*a_jct_rate_output/(1+a_jct_rate_output)</f>
        <v>-34938.75</v>
      </c>
      <c r="AF13" s="61" t="n">
        <f aca="false">-AF12*a_jct_rate_output/(1+a_jct_rate_output)</f>
        <v>-34938.75</v>
      </c>
      <c r="AG13" s="61" t="n">
        <f aca="false">-AG12*a_jct_rate_output/(1+a_jct_rate_output)</f>
        <v>-34938.75</v>
      </c>
      <c r="AH13" s="61" t="n">
        <f aca="false">-AH12*a_jct_rate_output/(1+a_jct_rate_output)</f>
        <v>-34938.75</v>
      </c>
      <c r="AI13" s="61" t="n">
        <f aca="false">-AI12*a_jct_rate_output/(1+a_jct_rate_output)</f>
        <v>-34938.75</v>
      </c>
      <c r="AJ13" s="61" t="n">
        <f aca="false">-AJ12*a_jct_rate_output/(1+a_jct_rate_output)</f>
        <v>-34938.75</v>
      </c>
      <c r="AK13" s="61" t="n">
        <f aca="false">-AK12*a_jct_rate_output/(1+a_jct_rate_output)</f>
        <v>-34938.75</v>
      </c>
      <c r="AL13" s="61" t="n">
        <f aca="false">-AL12*a_jct_rate_output/(1+a_jct_rate_output)</f>
        <v>-34938.75</v>
      </c>
      <c r="AM13" s="1"/>
      <c r="AN13" s="1"/>
      <c r="AO13" s="1"/>
      <c r="AP13" s="1"/>
      <c r="AQ13" s="1"/>
      <c r="AR13" s="1"/>
      <c r="AS13" s="1"/>
      <c r="AT13" s="1"/>
    </row>
    <row r="14" customFormat="false" ht="15" hidden="false" customHeight="false" outlineLevel="0" collapsed="false">
      <c r="A14" s="1"/>
      <c r="B14" s="19" t="s">
        <v>102</v>
      </c>
      <c r="C14" s="62" t="n">
        <f aca="false">-C12*a_points_rate</f>
        <v>-291.666666666667</v>
      </c>
      <c r="D14" s="62" t="n">
        <f aca="false">-D12*a_points_rate</f>
        <v>-583.333333333333</v>
      </c>
      <c r="E14" s="62" t="n">
        <f aca="false">-E12*a_points_rate</f>
        <v>-875</v>
      </c>
      <c r="F14" s="62" t="n">
        <f aca="false">-F12*a_points_rate</f>
        <v>-1166.66666666667</v>
      </c>
      <c r="G14" s="62" t="n">
        <f aca="false">-G12*a_points_rate</f>
        <v>-1458.33333333333</v>
      </c>
      <c r="H14" s="62" t="n">
        <f aca="false">-H12*a_points_rate</f>
        <v>-1750</v>
      </c>
      <c r="I14" s="62" t="n">
        <f aca="false">-I12*a_points_rate</f>
        <v>-2041.66666666667</v>
      </c>
      <c r="J14" s="62" t="n">
        <f aca="false">-J12*a_points_rate</f>
        <v>-2333.33333333333</v>
      </c>
      <c r="K14" s="62" t="n">
        <f aca="false">-K12*a_points_rate</f>
        <v>-2625</v>
      </c>
      <c r="L14" s="62" t="n">
        <f aca="false">-L12*a_points_rate</f>
        <v>-2625</v>
      </c>
      <c r="M14" s="62" t="n">
        <f aca="false">-M12*a_points_rate</f>
        <v>-2625</v>
      </c>
      <c r="N14" s="62" t="n">
        <f aca="false">-N12*a_points_rate</f>
        <v>-2625</v>
      </c>
      <c r="O14" s="62" t="n">
        <f aca="false">-O12*a_points_rate</f>
        <v>-3176.25</v>
      </c>
      <c r="P14" s="62" t="n">
        <f aca="false">-P12*a_points_rate</f>
        <v>-3176.25</v>
      </c>
      <c r="Q14" s="62" t="n">
        <f aca="false">-Q12*a_points_rate</f>
        <v>-3176.25</v>
      </c>
      <c r="R14" s="62" t="n">
        <f aca="false">-R12*a_points_rate</f>
        <v>-3176.25</v>
      </c>
      <c r="S14" s="62" t="n">
        <f aca="false">-S12*a_points_rate</f>
        <v>-3176.25</v>
      </c>
      <c r="T14" s="62" t="n">
        <f aca="false">-T12*a_points_rate</f>
        <v>-3176.25</v>
      </c>
      <c r="U14" s="62" t="n">
        <f aca="false">-U12*a_points_rate</f>
        <v>-3176.25</v>
      </c>
      <c r="V14" s="62" t="n">
        <f aca="false">-V12*a_points_rate</f>
        <v>-3176.25</v>
      </c>
      <c r="W14" s="62" t="n">
        <f aca="false">-W12*a_points_rate</f>
        <v>-3176.25</v>
      </c>
      <c r="X14" s="62" t="n">
        <f aca="false">-X12*a_points_rate</f>
        <v>-3176.25</v>
      </c>
      <c r="Y14" s="62" t="n">
        <f aca="false">-Y12*a_points_rate</f>
        <v>-3176.25</v>
      </c>
      <c r="Z14" s="62" t="n">
        <f aca="false">-Z12*a_points_rate</f>
        <v>-3176.25</v>
      </c>
      <c r="AA14" s="62" t="n">
        <f aca="false">-AA12*a_points_rate</f>
        <v>-3843.2625</v>
      </c>
      <c r="AB14" s="62" t="n">
        <f aca="false">-AB12*a_points_rate</f>
        <v>-3843.2625</v>
      </c>
      <c r="AC14" s="62" t="n">
        <f aca="false">-AC12*a_points_rate</f>
        <v>-3843.2625</v>
      </c>
      <c r="AD14" s="62" t="n">
        <f aca="false">-AD12*a_points_rate</f>
        <v>-3843.2625</v>
      </c>
      <c r="AE14" s="62" t="n">
        <f aca="false">-AE12*a_points_rate</f>
        <v>-3843.2625</v>
      </c>
      <c r="AF14" s="62" t="n">
        <f aca="false">-AF12*a_points_rate</f>
        <v>-3843.2625</v>
      </c>
      <c r="AG14" s="62" t="n">
        <f aca="false">-AG12*a_points_rate</f>
        <v>-3843.2625</v>
      </c>
      <c r="AH14" s="62" t="n">
        <f aca="false">-AH12*a_points_rate</f>
        <v>-3843.2625</v>
      </c>
      <c r="AI14" s="62" t="n">
        <f aca="false">-AI12*a_points_rate</f>
        <v>-3843.2625</v>
      </c>
      <c r="AJ14" s="62" t="n">
        <f aca="false">-AJ12*a_points_rate</f>
        <v>-3843.2625</v>
      </c>
      <c r="AK14" s="62" t="n">
        <f aca="false">-AK12*a_points_rate</f>
        <v>-3843.2625</v>
      </c>
      <c r="AL14" s="62" t="n">
        <f aca="false">-AL12*a_points_rate</f>
        <v>-3843.2625</v>
      </c>
      <c r="AM14" s="1"/>
      <c r="AN14" s="1"/>
      <c r="AO14" s="1"/>
      <c r="AP14" s="1"/>
      <c r="AQ14" s="1"/>
      <c r="AR14" s="1"/>
      <c r="AS14" s="1"/>
      <c r="AT14" s="1"/>
    </row>
    <row r="15" customFormat="false" ht="15" hidden="false" customHeight="false" outlineLevel="0" collapsed="false">
      <c r="A15" s="1"/>
      <c r="B15" s="30" t="s">
        <v>501</v>
      </c>
      <c r="C15" s="61" t="n">
        <f aca="false">-C12*IF(1&lt;=a_promo_launch_months,a_promo_rate_launch,a_promo_rate_steady)-a_promo_fixed_jpy/a_cur_div</f>
        <v>-2333.33333333333</v>
      </c>
      <c r="D15" s="61" t="n">
        <f aca="false">-D12*IF(2&lt;=a_promo_launch_months,a_promo_rate_launch,a_promo_rate_steady)-a_promo_fixed_jpy/a_cur_div</f>
        <v>-4666.66666666667</v>
      </c>
      <c r="E15" s="61" t="n">
        <f aca="false">-E12*IF(3&lt;=a_promo_launch_months,a_promo_rate_launch,a_promo_rate_steady)-a_promo_fixed_jpy/a_cur_div</f>
        <v>-7000</v>
      </c>
      <c r="F15" s="61" t="n">
        <f aca="false">-F12*IF(4&lt;=a_promo_launch_months,a_promo_rate_launch,a_promo_rate_steady)-a_promo_fixed_jpy/a_cur_div</f>
        <v>-2333.33333333333</v>
      </c>
      <c r="G15" s="61" t="n">
        <f aca="false">-G12*IF(5&lt;=a_promo_launch_months,a_promo_rate_launch,a_promo_rate_steady)-a_promo_fixed_jpy/a_cur_div</f>
        <v>-2916.66666666667</v>
      </c>
      <c r="H15" s="61" t="n">
        <f aca="false">-H12*IF(6&lt;=a_promo_launch_months,a_promo_rate_launch,a_promo_rate_steady)-a_promo_fixed_jpy/a_cur_div</f>
        <v>-3500</v>
      </c>
      <c r="I15" s="61" t="n">
        <f aca="false">-I12*IF(7&lt;=a_promo_launch_months,a_promo_rate_launch,a_promo_rate_steady)-a_promo_fixed_jpy/a_cur_div</f>
        <v>-4083.33333333333</v>
      </c>
      <c r="J15" s="61" t="n">
        <f aca="false">-J12*IF(8&lt;=a_promo_launch_months,a_promo_rate_launch,a_promo_rate_steady)-a_promo_fixed_jpy/a_cur_div</f>
        <v>-4666.66666666667</v>
      </c>
      <c r="K15" s="61" t="n">
        <f aca="false">-K12*IF(9&lt;=a_promo_launch_months,a_promo_rate_launch,a_promo_rate_steady)-a_promo_fixed_jpy/a_cur_div</f>
        <v>-5250</v>
      </c>
      <c r="L15" s="61" t="n">
        <f aca="false">-L12*IF(10&lt;=a_promo_launch_months,a_promo_rate_launch,a_promo_rate_steady)-a_promo_fixed_jpy/a_cur_div</f>
        <v>-5250</v>
      </c>
      <c r="M15" s="61" t="n">
        <f aca="false">-M12*IF(11&lt;=a_promo_launch_months,a_promo_rate_launch,a_promo_rate_steady)-a_promo_fixed_jpy/a_cur_div</f>
        <v>-5250</v>
      </c>
      <c r="N15" s="61" t="n">
        <f aca="false">-N12*IF(12&lt;=a_promo_launch_months,a_promo_rate_launch,a_promo_rate_steady)-a_promo_fixed_jpy/a_cur_div</f>
        <v>-5250</v>
      </c>
      <c r="O15" s="61" t="n">
        <f aca="false">-O12*IF(13&lt;=a_promo_launch_months,a_promo_rate_launch,a_promo_rate_steady)-a_promo_fixed_jpy/a_cur_div</f>
        <v>-6352.5</v>
      </c>
      <c r="P15" s="61" t="n">
        <f aca="false">-P12*IF(14&lt;=a_promo_launch_months,a_promo_rate_launch,a_promo_rate_steady)-a_promo_fixed_jpy/a_cur_div</f>
        <v>-6352.5</v>
      </c>
      <c r="Q15" s="61" t="n">
        <f aca="false">-Q12*IF(15&lt;=a_promo_launch_months,a_promo_rate_launch,a_promo_rate_steady)-a_promo_fixed_jpy/a_cur_div</f>
        <v>-6352.5</v>
      </c>
      <c r="R15" s="61" t="n">
        <f aca="false">-R12*IF(16&lt;=a_promo_launch_months,a_promo_rate_launch,a_promo_rate_steady)-a_promo_fixed_jpy/a_cur_div</f>
        <v>-6352.5</v>
      </c>
      <c r="S15" s="61" t="n">
        <f aca="false">-S12*IF(17&lt;=a_promo_launch_months,a_promo_rate_launch,a_promo_rate_steady)-a_promo_fixed_jpy/a_cur_div</f>
        <v>-6352.5</v>
      </c>
      <c r="T15" s="61" t="n">
        <f aca="false">-T12*IF(18&lt;=a_promo_launch_months,a_promo_rate_launch,a_promo_rate_steady)-a_promo_fixed_jpy/a_cur_div</f>
        <v>-6352.5</v>
      </c>
      <c r="U15" s="61" t="n">
        <f aca="false">-U12*IF(19&lt;=a_promo_launch_months,a_promo_rate_launch,a_promo_rate_steady)-a_promo_fixed_jpy/a_cur_div</f>
        <v>-6352.5</v>
      </c>
      <c r="V15" s="61" t="n">
        <f aca="false">-V12*IF(20&lt;=a_promo_launch_months,a_promo_rate_launch,a_promo_rate_steady)-a_promo_fixed_jpy/a_cur_div</f>
        <v>-6352.5</v>
      </c>
      <c r="W15" s="61" t="n">
        <f aca="false">-W12*IF(21&lt;=a_promo_launch_months,a_promo_rate_launch,a_promo_rate_steady)-a_promo_fixed_jpy/a_cur_div</f>
        <v>-6352.5</v>
      </c>
      <c r="X15" s="61" t="n">
        <f aca="false">-X12*IF(22&lt;=a_promo_launch_months,a_promo_rate_launch,a_promo_rate_steady)-a_promo_fixed_jpy/a_cur_div</f>
        <v>-6352.5</v>
      </c>
      <c r="Y15" s="61" t="n">
        <f aca="false">-Y12*IF(23&lt;=a_promo_launch_months,a_promo_rate_launch,a_promo_rate_steady)-a_promo_fixed_jpy/a_cur_div</f>
        <v>-6352.5</v>
      </c>
      <c r="Z15" s="61" t="n">
        <f aca="false">-Z12*IF(24&lt;=a_promo_launch_months,a_promo_rate_launch,a_promo_rate_steady)-a_promo_fixed_jpy/a_cur_div</f>
        <v>-6352.5</v>
      </c>
      <c r="AA15" s="61" t="n">
        <f aca="false">-AA12*IF(25&lt;=a_promo_launch_months,a_promo_rate_launch,a_promo_rate_steady)-a_promo_fixed_jpy/a_cur_div</f>
        <v>-7686.525</v>
      </c>
      <c r="AB15" s="61" t="n">
        <f aca="false">-AB12*IF(26&lt;=a_promo_launch_months,a_promo_rate_launch,a_promo_rate_steady)-a_promo_fixed_jpy/a_cur_div</f>
        <v>-7686.525</v>
      </c>
      <c r="AC15" s="61" t="n">
        <f aca="false">-AC12*IF(27&lt;=a_promo_launch_months,a_promo_rate_launch,a_promo_rate_steady)-a_promo_fixed_jpy/a_cur_div</f>
        <v>-7686.525</v>
      </c>
      <c r="AD15" s="61" t="n">
        <f aca="false">-AD12*IF(28&lt;=a_promo_launch_months,a_promo_rate_launch,a_promo_rate_steady)-a_promo_fixed_jpy/a_cur_div</f>
        <v>-7686.525</v>
      </c>
      <c r="AE15" s="61" t="n">
        <f aca="false">-AE12*IF(29&lt;=a_promo_launch_months,a_promo_rate_launch,a_promo_rate_steady)-a_promo_fixed_jpy/a_cur_div</f>
        <v>-7686.525</v>
      </c>
      <c r="AF15" s="61" t="n">
        <f aca="false">-AF12*IF(30&lt;=a_promo_launch_months,a_promo_rate_launch,a_promo_rate_steady)-a_promo_fixed_jpy/a_cur_div</f>
        <v>-7686.525</v>
      </c>
      <c r="AG15" s="61" t="n">
        <f aca="false">-AG12*IF(31&lt;=a_promo_launch_months,a_promo_rate_launch,a_promo_rate_steady)-a_promo_fixed_jpy/a_cur_div</f>
        <v>-7686.525</v>
      </c>
      <c r="AH15" s="61" t="n">
        <f aca="false">-AH12*IF(32&lt;=a_promo_launch_months,a_promo_rate_launch,a_promo_rate_steady)-a_promo_fixed_jpy/a_cur_div</f>
        <v>-7686.525</v>
      </c>
      <c r="AI15" s="61" t="n">
        <f aca="false">-AI12*IF(33&lt;=a_promo_launch_months,a_promo_rate_launch,a_promo_rate_steady)-a_promo_fixed_jpy/a_cur_div</f>
        <v>-7686.525</v>
      </c>
      <c r="AJ15" s="61" t="n">
        <f aca="false">-AJ12*IF(34&lt;=a_promo_launch_months,a_promo_rate_launch,a_promo_rate_steady)-a_promo_fixed_jpy/a_cur_div</f>
        <v>-7686.525</v>
      </c>
      <c r="AK15" s="61" t="n">
        <f aca="false">-AK12*IF(35&lt;=a_promo_launch_months,a_promo_rate_launch,a_promo_rate_steady)-a_promo_fixed_jpy/a_cur_div</f>
        <v>-7686.525</v>
      </c>
      <c r="AL15" s="61" t="n">
        <f aca="false">-AL12*IF(36&lt;=a_promo_launch_months,a_promo_rate_launch,a_promo_rate_steady)-a_promo_fixed_jpy/a_cur_div</f>
        <v>-7686.525</v>
      </c>
      <c r="AM15" s="1"/>
      <c r="AN15" s="1"/>
      <c r="AO15" s="1"/>
      <c r="AP15" s="1"/>
      <c r="AQ15" s="1"/>
      <c r="AR15" s="1"/>
      <c r="AS15" s="1"/>
      <c r="AT15" s="1"/>
    </row>
    <row r="16" customFormat="false" ht="15" hidden="false" customHeight="false" outlineLevel="0" collapsed="false">
      <c r="A16" s="1"/>
      <c r="B16" s="19" t="s">
        <v>502</v>
      </c>
      <c r="C16" s="62" t="n">
        <f aca="false">-a_return_rate*C12</f>
        <v>-583.333333333333</v>
      </c>
      <c r="D16" s="62" t="n">
        <f aca="false">-a_return_rate*D12</f>
        <v>-1166.66666666667</v>
      </c>
      <c r="E16" s="62" t="n">
        <f aca="false">-a_return_rate*E12</f>
        <v>-1750</v>
      </c>
      <c r="F16" s="62" t="n">
        <f aca="false">-a_return_rate*F12</f>
        <v>-2333.33333333333</v>
      </c>
      <c r="G16" s="62" t="n">
        <f aca="false">-a_return_rate*G12</f>
        <v>-2916.66666666667</v>
      </c>
      <c r="H16" s="62" t="n">
        <f aca="false">-a_return_rate*H12</f>
        <v>-3500</v>
      </c>
      <c r="I16" s="62" t="n">
        <f aca="false">-a_return_rate*I12</f>
        <v>-4083.33333333333</v>
      </c>
      <c r="J16" s="62" t="n">
        <f aca="false">-a_return_rate*J12</f>
        <v>-4666.66666666667</v>
      </c>
      <c r="K16" s="62" t="n">
        <f aca="false">-a_return_rate*K12</f>
        <v>-5250</v>
      </c>
      <c r="L16" s="62" t="n">
        <f aca="false">-a_return_rate*L12</f>
        <v>-5250</v>
      </c>
      <c r="M16" s="62" t="n">
        <f aca="false">-a_return_rate*M12</f>
        <v>-5250</v>
      </c>
      <c r="N16" s="62" t="n">
        <f aca="false">-a_return_rate*N12</f>
        <v>-5250</v>
      </c>
      <c r="O16" s="62" t="n">
        <f aca="false">-a_return_rate*O12</f>
        <v>-6352.5</v>
      </c>
      <c r="P16" s="62" t="n">
        <f aca="false">-a_return_rate*P12</f>
        <v>-6352.5</v>
      </c>
      <c r="Q16" s="62" t="n">
        <f aca="false">-a_return_rate*Q12</f>
        <v>-6352.5</v>
      </c>
      <c r="R16" s="62" t="n">
        <f aca="false">-a_return_rate*R12</f>
        <v>-6352.5</v>
      </c>
      <c r="S16" s="62" t="n">
        <f aca="false">-a_return_rate*S12</f>
        <v>-6352.5</v>
      </c>
      <c r="T16" s="62" t="n">
        <f aca="false">-a_return_rate*T12</f>
        <v>-6352.5</v>
      </c>
      <c r="U16" s="62" t="n">
        <f aca="false">-a_return_rate*U12</f>
        <v>-6352.5</v>
      </c>
      <c r="V16" s="62" t="n">
        <f aca="false">-a_return_rate*V12</f>
        <v>-6352.5</v>
      </c>
      <c r="W16" s="62" t="n">
        <f aca="false">-a_return_rate*W12</f>
        <v>-6352.5</v>
      </c>
      <c r="X16" s="62" t="n">
        <f aca="false">-a_return_rate*X12</f>
        <v>-6352.5</v>
      </c>
      <c r="Y16" s="62" t="n">
        <f aca="false">-a_return_rate*Y12</f>
        <v>-6352.5</v>
      </c>
      <c r="Z16" s="62" t="n">
        <f aca="false">-a_return_rate*Z12</f>
        <v>-6352.5</v>
      </c>
      <c r="AA16" s="62" t="n">
        <f aca="false">-a_return_rate*AA12</f>
        <v>-7686.525</v>
      </c>
      <c r="AB16" s="62" t="n">
        <f aca="false">-a_return_rate*AB12</f>
        <v>-7686.525</v>
      </c>
      <c r="AC16" s="62" t="n">
        <f aca="false">-a_return_rate*AC12</f>
        <v>-7686.525</v>
      </c>
      <c r="AD16" s="62" t="n">
        <f aca="false">-a_return_rate*AD12</f>
        <v>-7686.525</v>
      </c>
      <c r="AE16" s="62" t="n">
        <f aca="false">-a_return_rate*AE12</f>
        <v>-7686.525</v>
      </c>
      <c r="AF16" s="62" t="n">
        <f aca="false">-a_return_rate*AF12</f>
        <v>-7686.525</v>
      </c>
      <c r="AG16" s="62" t="n">
        <f aca="false">-a_return_rate*AG12</f>
        <v>-7686.525</v>
      </c>
      <c r="AH16" s="62" t="n">
        <f aca="false">-a_return_rate*AH12</f>
        <v>-7686.525</v>
      </c>
      <c r="AI16" s="62" t="n">
        <f aca="false">-a_return_rate*AI12</f>
        <v>-7686.525</v>
      </c>
      <c r="AJ16" s="62" t="n">
        <f aca="false">-a_return_rate*AJ12</f>
        <v>-7686.525</v>
      </c>
      <c r="AK16" s="62" t="n">
        <f aca="false">-a_return_rate*AK12</f>
        <v>-7686.525</v>
      </c>
      <c r="AL16" s="62" t="n">
        <f aca="false">-a_return_rate*AL12</f>
        <v>-7686.525</v>
      </c>
      <c r="AM16" s="1"/>
      <c r="AN16" s="1"/>
      <c r="AO16" s="1"/>
      <c r="AP16" s="1"/>
      <c r="AQ16" s="1"/>
      <c r="AR16" s="1"/>
      <c r="AS16" s="1"/>
      <c r="AT16" s="1"/>
    </row>
    <row r="17" customFormat="false" ht="15" hidden="false" customHeight="false" outlineLevel="0" collapsed="false">
      <c r="A17" s="1"/>
      <c r="B17" s="63" t="s">
        <v>503</v>
      </c>
      <c r="C17" s="64" t="n">
        <f aca="false">C12+C13+C14+C15+C16</f>
        <v>23306.8181818182</v>
      </c>
      <c r="D17" s="64" t="n">
        <f aca="false">D12+D13+D14+D15+D16</f>
        <v>46613.6363636364</v>
      </c>
      <c r="E17" s="64" t="n">
        <f aca="false">E12+E13+E14+E15+E16</f>
        <v>69920.4545454545</v>
      </c>
      <c r="F17" s="64" t="n">
        <f aca="false">F12+F13+F14+F15+F16</f>
        <v>100227.272727273</v>
      </c>
      <c r="G17" s="64" t="n">
        <f aca="false">G12+G13+G14+G15+G16</f>
        <v>125284.090909091</v>
      </c>
      <c r="H17" s="64" t="n">
        <f aca="false">H12+H13+H14+H15+H16</f>
        <v>150340.909090909</v>
      </c>
      <c r="I17" s="64" t="n">
        <f aca="false">I12+I13+I14+I15+I16</f>
        <v>175397.727272727</v>
      </c>
      <c r="J17" s="64" t="n">
        <f aca="false">J12+J13+J14+J15+J16</f>
        <v>200454.545454545</v>
      </c>
      <c r="K17" s="64" t="n">
        <f aca="false">K12+K13+K14+K15+K16</f>
        <v>225511.363636364</v>
      </c>
      <c r="L17" s="64" t="n">
        <f aca="false">L12+L13+L14+L15+L16</f>
        <v>225511.363636364</v>
      </c>
      <c r="M17" s="64" t="n">
        <f aca="false">M12+M13+M14+M15+M16</f>
        <v>225511.363636364</v>
      </c>
      <c r="N17" s="64" t="n">
        <f aca="false">N12+N13+N14+N15+N16</f>
        <v>225511.363636364</v>
      </c>
      <c r="O17" s="64" t="n">
        <f aca="false">O12+O13+O14+O15+O16</f>
        <v>272868.75</v>
      </c>
      <c r="P17" s="64" t="n">
        <f aca="false">P12+P13+P14+P15+P16</f>
        <v>272868.75</v>
      </c>
      <c r="Q17" s="64" t="n">
        <f aca="false">Q12+Q13+Q14+Q15+Q16</f>
        <v>272868.75</v>
      </c>
      <c r="R17" s="64" t="n">
        <f aca="false">R12+R13+R14+R15+R16</f>
        <v>272868.75</v>
      </c>
      <c r="S17" s="64" t="n">
        <f aca="false">S12+S13+S14+S15+S16</f>
        <v>272868.75</v>
      </c>
      <c r="T17" s="64" t="n">
        <f aca="false">T12+T13+T14+T15+T16</f>
        <v>272868.75</v>
      </c>
      <c r="U17" s="64" t="n">
        <f aca="false">U12+U13+U14+U15+U16</f>
        <v>272868.75</v>
      </c>
      <c r="V17" s="64" t="n">
        <f aca="false">V12+V13+V14+V15+V16</f>
        <v>272868.75</v>
      </c>
      <c r="W17" s="64" t="n">
        <f aca="false">W12+W13+W14+W15+W16</f>
        <v>272868.75</v>
      </c>
      <c r="X17" s="64" t="n">
        <f aca="false">X12+X13+X14+X15+X16</f>
        <v>272868.75</v>
      </c>
      <c r="Y17" s="64" t="n">
        <f aca="false">Y12+Y13+Y14+Y15+Y16</f>
        <v>272868.75</v>
      </c>
      <c r="Z17" s="64" t="n">
        <f aca="false">Z12+Z13+Z14+Z15+Z16</f>
        <v>272868.75</v>
      </c>
      <c r="AA17" s="64" t="n">
        <f aca="false">AA12+AA13+AA14+AA15+AA16</f>
        <v>330171.1875</v>
      </c>
      <c r="AB17" s="64" t="n">
        <f aca="false">AB12+AB13+AB14+AB15+AB16</f>
        <v>330171.1875</v>
      </c>
      <c r="AC17" s="64" t="n">
        <f aca="false">AC12+AC13+AC14+AC15+AC16</f>
        <v>330171.1875</v>
      </c>
      <c r="AD17" s="64" t="n">
        <f aca="false">AD12+AD13+AD14+AD15+AD16</f>
        <v>330171.1875</v>
      </c>
      <c r="AE17" s="64" t="n">
        <f aca="false">AE12+AE13+AE14+AE15+AE16</f>
        <v>330171.1875</v>
      </c>
      <c r="AF17" s="64" t="n">
        <f aca="false">AF12+AF13+AF14+AF15+AF16</f>
        <v>330171.1875</v>
      </c>
      <c r="AG17" s="64" t="n">
        <f aca="false">AG12+AG13+AG14+AG15+AG16</f>
        <v>330171.1875</v>
      </c>
      <c r="AH17" s="64" t="n">
        <f aca="false">AH12+AH13+AH14+AH15+AH16</f>
        <v>330171.1875</v>
      </c>
      <c r="AI17" s="64" t="n">
        <f aca="false">AI12+AI13+AI14+AI15+AI16</f>
        <v>330171.1875</v>
      </c>
      <c r="AJ17" s="64" t="n">
        <f aca="false">AJ12+AJ13+AJ14+AJ15+AJ16</f>
        <v>330171.1875</v>
      </c>
      <c r="AK17" s="64" t="n">
        <f aca="false">AK12+AK13+AK14+AK15+AK16</f>
        <v>330171.1875</v>
      </c>
      <c r="AL17" s="64" t="n">
        <f aca="false">AL12+AL13+AL14+AL15+AL16</f>
        <v>330171.1875</v>
      </c>
      <c r="AM17" s="1"/>
      <c r="AN17" s="1"/>
      <c r="AO17" s="1"/>
      <c r="AP17" s="1"/>
      <c r="AQ17" s="1"/>
      <c r="AR17" s="1"/>
      <c r="AS17" s="1"/>
      <c r="AT17" s="1"/>
    </row>
    <row r="18" customFormat="false" ht="15" hidden="false" customHeight="false" outlineLevel="0" collapsed="false">
      <c r="A18" s="1"/>
      <c r="B18" s="19" t="s">
        <v>504</v>
      </c>
      <c r="C18" s="62" t="n">
        <f aca="false">-C10*a_act_cogs_pu/a_cur_div</f>
        <v>-13125</v>
      </c>
      <c r="D18" s="62" t="n">
        <f aca="false">-D10*a_act_cogs_pu/a_cur_div</f>
        <v>-26250</v>
      </c>
      <c r="E18" s="62" t="n">
        <f aca="false">-E10*a_act_cogs_pu/a_cur_div</f>
        <v>-39375</v>
      </c>
      <c r="F18" s="62" t="n">
        <f aca="false">-F10*a_act_cogs_pu/a_cur_div</f>
        <v>-52500</v>
      </c>
      <c r="G18" s="62" t="n">
        <f aca="false">-G10*a_act_cogs_pu/a_cur_div</f>
        <v>-65625</v>
      </c>
      <c r="H18" s="62" t="n">
        <f aca="false">-H10*a_act_cogs_pu/a_cur_div</f>
        <v>-78750</v>
      </c>
      <c r="I18" s="62" t="n">
        <f aca="false">-I10*a_act_cogs_pu/a_cur_div</f>
        <v>-91875</v>
      </c>
      <c r="J18" s="62" t="n">
        <f aca="false">-J10*a_act_cogs_pu/a_cur_div</f>
        <v>-105000</v>
      </c>
      <c r="K18" s="62" t="n">
        <f aca="false">-K10*a_act_cogs_pu/a_cur_div</f>
        <v>-118125</v>
      </c>
      <c r="L18" s="62" t="n">
        <f aca="false">-L10*a_act_cogs_pu/a_cur_div</f>
        <v>-118125</v>
      </c>
      <c r="M18" s="62" t="n">
        <f aca="false">-M10*a_act_cogs_pu/a_cur_div</f>
        <v>-118125</v>
      </c>
      <c r="N18" s="62" t="n">
        <f aca="false">-N10*a_act_cogs_pu/a_cur_div</f>
        <v>-118125</v>
      </c>
      <c r="O18" s="62" t="n">
        <f aca="false">-O10*a_act_cogs_pu/a_cur_div</f>
        <v>-142931.25</v>
      </c>
      <c r="P18" s="62" t="n">
        <f aca="false">-P10*a_act_cogs_pu/a_cur_div</f>
        <v>-142931.25</v>
      </c>
      <c r="Q18" s="62" t="n">
        <f aca="false">-Q10*a_act_cogs_pu/a_cur_div</f>
        <v>-142931.25</v>
      </c>
      <c r="R18" s="62" t="n">
        <f aca="false">-R10*a_act_cogs_pu/a_cur_div</f>
        <v>-142931.25</v>
      </c>
      <c r="S18" s="62" t="n">
        <f aca="false">-S10*a_act_cogs_pu/a_cur_div</f>
        <v>-142931.25</v>
      </c>
      <c r="T18" s="62" t="n">
        <f aca="false">-T10*a_act_cogs_pu/a_cur_div</f>
        <v>-142931.25</v>
      </c>
      <c r="U18" s="62" t="n">
        <f aca="false">-U10*a_act_cogs_pu/a_cur_div</f>
        <v>-142931.25</v>
      </c>
      <c r="V18" s="62" t="n">
        <f aca="false">-V10*a_act_cogs_pu/a_cur_div</f>
        <v>-142931.25</v>
      </c>
      <c r="W18" s="62" t="n">
        <f aca="false">-W10*a_act_cogs_pu/a_cur_div</f>
        <v>-142931.25</v>
      </c>
      <c r="X18" s="62" t="n">
        <f aca="false">-X10*a_act_cogs_pu/a_cur_div</f>
        <v>-142931.25</v>
      </c>
      <c r="Y18" s="62" t="n">
        <f aca="false">-Y10*a_act_cogs_pu/a_cur_div</f>
        <v>-142931.25</v>
      </c>
      <c r="Z18" s="62" t="n">
        <f aca="false">-Z10*a_act_cogs_pu/a_cur_div</f>
        <v>-142931.25</v>
      </c>
      <c r="AA18" s="62" t="n">
        <f aca="false">-AA10*a_act_cogs_pu/a_cur_div</f>
        <v>-172946.8125</v>
      </c>
      <c r="AB18" s="62" t="n">
        <f aca="false">-AB10*a_act_cogs_pu/a_cur_div</f>
        <v>-172946.8125</v>
      </c>
      <c r="AC18" s="62" t="n">
        <f aca="false">-AC10*a_act_cogs_pu/a_cur_div</f>
        <v>-172946.8125</v>
      </c>
      <c r="AD18" s="62" t="n">
        <f aca="false">-AD10*a_act_cogs_pu/a_cur_div</f>
        <v>-172946.8125</v>
      </c>
      <c r="AE18" s="62" t="n">
        <f aca="false">-AE10*a_act_cogs_pu/a_cur_div</f>
        <v>-172946.8125</v>
      </c>
      <c r="AF18" s="62" t="n">
        <f aca="false">-AF10*a_act_cogs_pu/a_cur_div</f>
        <v>-172946.8125</v>
      </c>
      <c r="AG18" s="62" t="n">
        <f aca="false">-AG10*a_act_cogs_pu/a_cur_div</f>
        <v>-172946.8125</v>
      </c>
      <c r="AH18" s="62" t="n">
        <f aca="false">-AH10*a_act_cogs_pu/a_cur_div</f>
        <v>-172946.8125</v>
      </c>
      <c r="AI18" s="62" t="n">
        <f aca="false">-AI10*a_act_cogs_pu/a_cur_div</f>
        <v>-172946.8125</v>
      </c>
      <c r="AJ18" s="62" t="n">
        <f aca="false">-AJ10*a_act_cogs_pu/a_cur_div</f>
        <v>-172946.8125</v>
      </c>
      <c r="AK18" s="62" t="n">
        <f aca="false">-AK10*a_act_cogs_pu/a_cur_div</f>
        <v>-172946.8125</v>
      </c>
      <c r="AL18" s="62" t="n">
        <f aca="false">-AL10*a_act_cogs_pu/a_cur_div</f>
        <v>-172946.8125</v>
      </c>
      <c r="AM18" s="1"/>
      <c r="AN18" s="1"/>
      <c r="AO18" s="1"/>
      <c r="AP18" s="1"/>
      <c r="AQ18" s="1"/>
      <c r="AR18" s="1"/>
      <c r="AS18" s="1"/>
      <c r="AT18" s="1"/>
    </row>
    <row r="19" customFormat="false" ht="15" hidden="false" customHeight="false" outlineLevel="0" collapsed="false">
      <c r="A19" s="1"/>
      <c r="B19" s="30" t="s">
        <v>505</v>
      </c>
      <c r="C19" s="61" t="n">
        <f aca="false">-C10*a_logistics_jpy_per_unit/a_cur_div</f>
        <v>-416.666666666667</v>
      </c>
      <c r="D19" s="61" t="n">
        <f aca="false">-D10*a_logistics_jpy_per_unit/a_cur_div</f>
        <v>-833.333333333333</v>
      </c>
      <c r="E19" s="61" t="n">
        <f aca="false">-E10*a_logistics_jpy_per_unit/a_cur_div</f>
        <v>-1250</v>
      </c>
      <c r="F19" s="61" t="n">
        <f aca="false">-F10*a_logistics_jpy_per_unit/a_cur_div</f>
        <v>-1666.66666666667</v>
      </c>
      <c r="G19" s="61" t="n">
        <f aca="false">-G10*a_logistics_jpy_per_unit/a_cur_div</f>
        <v>-2083.33333333333</v>
      </c>
      <c r="H19" s="61" t="n">
        <f aca="false">-H10*a_logistics_jpy_per_unit/a_cur_div</f>
        <v>-2500</v>
      </c>
      <c r="I19" s="61" t="n">
        <f aca="false">-I10*a_logistics_jpy_per_unit/a_cur_div</f>
        <v>-2916.66666666667</v>
      </c>
      <c r="J19" s="61" t="n">
        <f aca="false">-J10*a_logistics_jpy_per_unit/a_cur_div</f>
        <v>-3333.33333333333</v>
      </c>
      <c r="K19" s="61" t="n">
        <f aca="false">-K10*a_logistics_jpy_per_unit/a_cur_div</f>
        <v>-3750</v>
      </c>
      <c r="L19" s="61" t="n">
        <f aca="false">-L10*a_logistics_jpy_per_unit/a_cur_div</f>
        <v>-3750</v>
      </c>
      <c r="M19" s="61" t="n">
        <f aca="false">-M10*a_logistics_jpy_per_unit/a_cur_div</f>
        <v>-3750</v>
      </c>
      <c r="N19" s="61" t="n">
        <f aca="false">-N10*a_logistics_jpy_per_unit/a_cur_div</f>
        <v>-3750</v>
      </c>
      <c r="O19" s="61" t="n">
        <f aca="false">-O10*a_logistics_jpy_per_unit/a_cur_div</f>
        <v>-4537.5</v>
      </c>
      <c r="P19" s="61" t="n">
        <f aca="false">-P10*a_logistics_jpy_per_unit/a_cur_div</f>
        <v>-4537.5</v>
      </c>
      <c r="Q19" s="61" t="n">
        <f aca="false">-Q10*a_logistics_jpy_per_unit/a_cur_div</f>
        <v>-4537.5</v>
      </c>
      <c r="R19" s="61" t="n">
        <f aca="false">-R10*a_logistics_jpy_per_unit/a_cur_div</f>
        <v>-4537.5</v>
      </c>
      <c r="S19" s="61" t="n">
        <f aca="false">-S10*a_logistics_jpy_per_unit/a_cur_div</f>
        <v>-4537.5</v>
      </c>
      <c r="T19" s="61" t="n">
        <f aca="false">-T10*a_logistics_jpy_per_unit/a_cur_div</f>
        <v>-4537.5</v>
      </c>
      <c r="U19" s="61" t="n">
        <f aca="false">-U10*a_logistics_jpy_per_unit/a_cur_div</f>
        <v>-4537.5</v>
      </c>
      <c r="V19" s="61" t="n">
        <f aca="false">-V10*a_logistics_jpy_per_unit/a_cur_div</f>
        <v>-4537.5</v>
      </c>
      <c r="W19" s="61" t="n">
        <f aca="false">-W10*a_logistics_jpy_per_unit/a_cur_div</f>
        <v>-4537.5</v>
      </c>
      <c r="X19" s="61" t="n">
        <f aca="false">-X10*a_logistics_jpy_per_unit/a_cur_div</f>
        <v>-4537.5</v>
      </c>
      <c r="Y19" s="61" t="n">
        <f aca="false">-Y10*a_logistics_jpy_per_unit/a_cur_div</f>
        <v>-4537.5</v>
      </c>
      <c r="Z19" s="61" t="n">
        <f aca="false">-Z10*a_logistics_jpy_per_unit/a_cur_div</f>
        <v>-4537.5</v>
      </c>
      <c r="AA19" s="61" t="n">
        <f aca="false">-AA10*a_logistics_jpy_per_unit/a_cur_div</f>
        <v>-5490.375</v>
      </c>
      <c r="AB19" s="61" t="n">
        <f aca="false">-AB10*a_logistics_jpy_per_unit/a_cur_div</f>
        <v>-5490.375</v>
      </c>
      <c r="AC19" s="61" t="n">
        <f aca="false">-AC10*a_logistics_jpy_per_unit/a_cur_div</f>
        <v>-5490.375</v>
      </c>
      <c r="AD19" s="61" t="n">
        <f aca="false">-AD10*a_logistics_jpy_per_unit/a_cur_div</f>
        <v>-5490.375</v>
      </c>
      <c r="AE19" s="61" t="n">
        <f aca="false">-AE10*a_logistics_jpy_per_unit/a_cur_div</f>
        <v>-5490.375</v>
      </c>
      <c r="AF19" s="61" t="n">
        <f aca="false">-AF10*a_logistics_jpy_per_unit/a_cur_div</f>
        <v>-5490.375</v>
      </c>
      <c r="AG19" s="61" t="n">
        <f aca="false">-AG10*a_logistics_jpy_per_unit/a_cur_div</f>
        <v>-5490.375</v>
      </c>
      <c r="AH19" s="61" t="n">
        <f aca="false">-AH10*a_logistics_jpy_per_unit/a_cur_div</f>
        <v>-5490.375</v>
      </c>
      <c r="AI19" s="61" t="n">
        <f aca="false">-AI10*a_logistics_jpy_per_unit/a_cur_div</f>
        <v>-5490.375</v>
      </c>
      <c r="AJ19" s="61" t="n">
        <f aca="false">-AJ10*a_logistics_jpy_per_unit/a_cur_div</f>
        <v>-5490.375</v>
      </c>
      <c r="AK19" s="61" t="n">
        <f aca="false">-AK10*a_logistics_jpy_per_unit/a_cur_div</f>
        <v>-5490.375</v>
      </c>
      <c r="AL19" s="61" t="n">
        <f aca="false">-AL10*a_logistics_jpy_per_unit/a_cur_div</f>
        <v>-5490.375</v>
      </c>
      <c r="AM19" s="1"/>
      <c r="AN19" s="1"/>
      <c r="AO19" s="1"/>
      <c r="AP19" s="1"/>
      <c r="AQ19" s="1"/>
      <c r="AR19" s="1"/>
      <c r="AS19" s="1"/>
      <c r="AT19" s="1"/>
    </row>
    <row r="20" customFormat="false" ht="15" hidden="false" customHeight="false" outlineLevel="0" collapsed="false">
      <c r="A20" s="1"/>
      <c r="B20" s="19" t="s">
        <v>506</v>
      </c>
      <c r="C20" s="62" t="n">
        <f aca="false">-C10*a_inspection_jpy_per_unit/a_cur_div</f>
        <v>-0</v>
      </c>
      <c r="D20" s="62" t="n">
        <f aca="false">-D10*a_inspection_jpy_per_unit/a_cur_div</f>
        <v>-0</v>
      </c>
      <c r="E20" s="62" t="n">
        <f aca="false">-E10*a_inspection_jpy_per_unit/a_cur_div</f>
        <v>-0</v>
      </c>
      <c r="F20" s="62" t="n">
        <f aca="false">-F10*a_inspection_jpy_per_unit/a_cur_div</f>
        <v>-0</v>
      </c>
      <c r="G20" s="62" t="n">
        <f aca="false">-G10*a_inspection_jpy_per_unit/a_cur_div</f>
        <v>-0</v>
      </c>
      <c r="H20" s="62" t="n">
        <f aca="false">-H10*a_inspection_jpy_per_unit/a_cur_div</f>
        <v>-0</v>
      </c>
      <c r="I20" s="62" t="n">
        <f aca="false">-I10*a_inspection_jpy_per_unit/a_cur_div</f>
        <v>-0</v>
      </c>
      <c r="J20" s="62" t="n">
        <f aca="false">-J10*a_inspection_jpy_per_unit/a_cur_div</f>
        <v>-0</v>
      </c>
      <c r="K20" s="62" t="n">
        <f aca="false">-K10*a_inspection_jpy_per_unit/a_cur_div</f>
        <v>-0</v>
      </c>
      <c r="L20" s="62" t="n">
        <f aca="false">-L10*a_inspection_jpy_per_unit/a_cur_div</f>
        <v>-0</v>
      </c>
      <c r="M20" s="62" t="n">
        <f aca="false">-M10*a_inspection_jpy_per_unit/a_cur_div</f>
        <v>-0</v>
      </c>
      <c r="N20" s="62" t="n">
        <f aca="false">-N10*a_inspection_jpy_per_unit/a_cur_div</f>
        <v>-0</v>
      </c>
      <c r="O20" s="62" t="n">
        <f aca="false">-O10*a_inspection_jpy_per_unit/a_cur_div</f>
        <v>-0</v>
      </c>
      <c r="P20" s="62" t="n">
        <f aca="false">-P10*a_inspection_jpy_per_unit/a_cur_div</f>
        <v>-0</v>
      </c>
      <c r="Q20" s="62" t="n">
        <f aca="false">-Q10*a_inspection_jpy_per_unit/a_cur_div</f>
        <v>-0</v>
      </c>
      <c r="R20" s="62" t="n">
        <f aca="false">-R10*a_inspection_jpy_per_unit/a_cur_div</f>
        <v>-0</v>
      </c>
      <c r="S20" s="62" t="n">
        <f aca="false">-S10*a_inspection_jpy_per_unit/a_cur_div</f>
        <v>-0</v>
      </c>
      <c r="T20" s="62" t="n">
        <f aca="false">-T10*a_inspection_jpy_per_unit/a_cur_div</f>
        <v>-0</v>
      </c>
      <c r="U20" s="62" t="n">
        <f aca="false">-U10*a_inspection_jpy_per_unit/a_cur_div</f>
        <v>-0</v>
      </c>
      <c r="V20" s="62" t="n">
        <f aca="false">-V10*a_inspection_jpy_per_unit/a_cur_div</f>
        <v>-0</v>
      </c>
      <c r="W20" s="62" t="n">
        <f aca="false">-W10*a_inspection_jpy_per_unit/a_cur_div</f>
        <v>-0</v>
      </c>
      <c r="X20" s="62" t="n">
        <f aca="false">-X10*a_inspection_jpy_per_unit/a_cur_div</f>
        <v>-0</v>
      </c>
      <c r="Y20" s="62" t="n">
        <f aca="false">-Y10*a_inspection_jpy_per_unit/a_cur_div</f>
        <v>-0</v>
      </c>
      <c r="Z20" s="62" t="n">
        <f aca="false">-Z10*a_inspection_jpy_per_unit/a_cur_div</f>
        <v>-0</v>
      </c>
      <c r="AA20" s="62" t="n">
        <f aca="false">-AA10*a_inspection_jpy_per_unit/a_cur_div</f>
        <v>-0</v>
      </c>
      <c r="AB20" s="62" t="n">
        <f aca="false">-AB10*a_inspection_jpy_per_unit/a_cur_div</f>
        <v>-0</v>
      </c>
      <c r="AC20" s="62" t="n">
        <f aca="false">-AC10*a_inspection_jpy_per_unit/a_cur_div</f>
        <v>-0</v>
      </c>
      <c r="AD20" s="62" t="n">
        <f aca="false">-AD10*a_inspection_jpy_per_unit/a_cur_div</f>
        <v>-0</v>
      </c>
      <c r="AE20" s="62" t="n">
        <f aca="false">-AE10*a_inspection_jpy_per_unit/a_cur_div</f>
        <v>-0</v>
      </c>
      <c r="AF20" s="62" t="n">
        <f aca="false">-AF10*a_inspection_jpy_per_unit/a_cur_div</f>
        <v>-0</v>
      </c>
      <c r="AG20" s="62" t="n">
        <f aca="false">-AG10*a_inspection_jpy_per_unit/a_cur_div</f>
        <v>-0</v>
      </c>
      <c r="AH20" s="62" t="n">
        <f aca="false">-AH10*a_inspection_jpy_per_unit/a_cur_div</f>
        <v>-0</v>
      </c>
      <c r="AI20" s="62" t="n">
        <f aca="false">-AI10*a_inspection_jpy_per_unit/a_cur_div</f>
        <v>-0</v>
      </c>
      <c r="AJ20" s="62" t="n">
        <f aca="false">-AJ10*a_inspection_jpy_per_unit/a_cur_div</f>
        <v>-0</v>
      </c>
      <c r="AK20" s="62" t="n">
        <f aca="false">-AK10*a_inspection_jpy_per_unit/a_cur_div</f>
        <v>-0</v>
      </c>
      <c r="AL20" s="62" t="n">
        <f aca="false">-AL10*a_inspection_jpy_per_unit/a_cur_div</f>
        <v>-0</v>
      </c>
      <c r="AM20" s="1"/>
      <c r="AN20" s="1"/>
      <c r="AO20" s="1"/>
      <c r="AP20" s="1"/>
      <c r="AQ20" s="1"/>
      <c r="AR20" s="1"/>
      <c r="AS20" s="1"/>
      <c r="AT20" s="1"/>
    </row>
    <row r="21" customFormat="false" ht="15" hidden="false" customHeight="false" outlineLevel="0" collapsed="false">
      <c r="A21" s="1"/>
      <c r="B21" s="30" t="s">
        <v>138</v>
      </c>
      <c r="C21" s="61" t="n">
        <f aca="false">a_shrinkage_rate*(C18+C19+C20)+C10*a_return_rate*a_return_salvage_rate*a_act_basis_pu/a_cur_div</f>
        <v>-135.416666666667</v>
      </c>
      <c r="D21" s="61" t="n">
        <f aca="false">a_shrinkage_rate*(D18+D19+D20)+D10*a_return_rate*a_return_salvage_rate*a_act_basis_pu/a_cur_div</f>
        <v>-270.833333333333</v>
      </c>
      <c r="E21" s="61" t="n">
        <f aca="false">a_shrinkage_rate*(E18+E19+E20)+E10*a_return_rate*a_return_salvage_rate*a_act_basis_pu/a_cur_div</f>
        <v>-406.25</v>
      </c>
      <c r="F21" s="61" t="n">
        <f aca="false">a_shrinkage_rate*(F18+F19+F20)+F10*a_return_rate*a_return_salvage_rate*a_act_basis_pu/a_cur_div</f>
        <v>-541.666666666667</v>
      </c>
      <c r="G21" s="61" t="n">
        <f aca="false">a_shrinkage_rate*(G18+G19+G20)+G10*a_return_rate*a_return_salvage_rate*a_act_basis_pu/a_cur_div</f>
        <v>-677.083333333334</v>
      </c>
      <c r="H21" s="61" t="n">
        <f aca="false">a_shrinkage_rate*(H18+H19+H20)+H10*a_return_rate*a_return_salvage_rate*a_act_basis_pu/a_cur_div</f>
        <v>-812.5</v>
      </c>
      <c r="I21" s="61" t="n">
        <f aca="false">a_shrinkage_rate*(I18+I19+I20)+I10*a_return_rate*a_return_salvage_rate*a_act_basis_pu/a_cur_div</f>
        <v>-947.916666666667</v>
      </c>
      <c r="J21" s="61" t="n">
        <f aca="false">a_shrinkage_rate*(J18+J19+J20)+J10*a_return_rate*a_return_salvage_rate*a_act_basis_pu/a_cur_div</f>
        <v>-1083.33333333333</v>
      </c>
      <c r="K21" s="61" t="n">
        <f aca="false">a_shrinkage_rate*(K18+K19+K20)+K10*a_return_rate*a_return_salvage_rate*a_act_basis_pu/a_cur_div</f>
        <v>-1218.75</v>
      </c>
      <c r="L21" s="61" t="n">
        <f aca="false">a_shrinkage_rate*(L18+L19+L20)+L10*a_return_rate*a_return_salvage_rate*a_act_basis_pu/a_cur_div</f>
        <v>-1218.75</v>
      </c>
      <c r="M21" s="61" t="n">
        <f aca="false">a_shrinkage_rate*(M18+M19+M20)+M10*a_return_rate*a_return_salvage_rate*a_act_basis_pu/a_cur_div</f>
        <v>-1218.75</v>
      </c>
      <c r="N21" s="61" t="n">
        <f aca="false">a_shrinkage_rate*(N18+N19+N20)+N10*a_return_rate*a_return_salvage_rate*a_act_basis_pu/a_cur_div</f>
        <v>-1218.75</v>
      </c>
      <c r="O21" s="61" t="n">
        <f aca="false">a_shrinkage_rate*(O18+O19+O20)+O10*a_return_rate*a_return_salvage_rate*a_act_basis_pu/a_cur_div</f>
        <v>-1474.6875</v>
      </c>
      <c r="P21" s="61" t="n">
        <f aca="false">a_shrinkage_rate*(P18+P19+P20)+P10*a_return_rate*a_return_salvage_rate*a_act_basis_pu/a_cur_div</f>
        <v>-1474.6875</v>
      </c>
      <c r="Q21" s="61" t="n">
        <f aca="false">a_shrinkage_rate*(Q18+Q19+Q20)+Q10*a_return_rate*a_return_salvage_rate*a_act_basis_pu/a_cur_div</f>
        <v>-1474.6875</v>
      </c>
      <c r="R21" s="61" t="n">
        <f aca="false">a_shrinkage_rate*(R18+R19+R20)+R10*a_return_rate*a_return_salvage_rate*a_act_basis_pu/a_cur_div</f>
        <v>-1474.6875</v>
      </c>
      <c r="S21" s="61" t="n">
        <f aca="false">a_shrinkage_rate*(S18+S19+S20)+S10*a_return_rate*a_return_salvage_rate*a_act_basis_pu/a_cur_div</f>
        <v>-1474.6875</v>
      </c>
      <c r="T21" s="61" t="n">
        <f aca="false">a_shrinkage_rate*(T18+T19+T20)+T10*a_return_rate*a_return_salvage_rate*a_act_basis_pu/a_cur_div</f>
        <v>-1474.6875</v>
      </c>
      <c r="U21" s="61" t="n">
        <f aca="false">a_shrinkage_rate*(U18+U19+U20)+U10*a_return_rate*a_return_salvage_rate*a_act_basis_pu/a_cur_div</f>
        <v>-1474.6875</v>
      </c>
      <c r="V21" s="61" t="n">
        <f aca="false">a_shrinkage_rate*(V18+V19+V20)+V10*a_return_rate*a_return_salvage_rate*a_act_basis_pu/a_cur_div</f>
        <v>-1474.6875</v>
      </c>
      <c r="W21" s="61" t="n">
        <f aca="false">a_shrinkage_rate*(W18+W19+W20)+W10*a_return_rate*a_return_salvage_rate*a_act_basis_pu/a_cur_div</f>
        <v>-1474.6875</v>
      </c>
      <c r="X21" s="61" t="n">
        <f aca="false">a_shrinkage_rate*(X18+X19+X20)+X10*a_return_rate*a_return_salvage_rate*a_act_basis_pu/a_cur_div</f>
        <v>-1474.6875</v>
      </c>
      <c r="Y21" s="61" t="n">
        <f aca="false">a_shrinkage_rate*(Y18+Y19+Y20)+Y10*a_return_rate*a_return_salvage_rate*a_act_basis_pu/a_cur_div</f>
        <v>-1474.6875</v>
      </c>
      <c r="Z21" s="61" t="n">
        <f aca="false">a_shrinkage_rate*(Z18+Z19+Z20)+Z10*a_return_rate*a_return_salvage_rate*a_act_basis_pu/a_cur_div</f>
        <v>-1474.6875</v>
      </c>
      <c r="AA21" s="61" t="n">
        <f aca="false">a_shrinkage_rate*(AA18+AA19+AA20)+AA10*a_return_rate*a_return_salvage_rate*a_act_basis_pu/a_cur_div</f>
        <v>-1784.371875</v>
      </c>
      <c r="AB21" s="61" t="n">
        <f aca="false">a_shrinkage_rate*(AB18+AB19+AB20)+AB10*a_return_rate*a_return_salvage_rate*a_act_basis_pu/a_cur_div</f>
        <v>-1784.371875</v>
      </c>
      <c r="AC21" s="61" t="n">
        <f aca="false">a_shrinkage_rate*(AC18+AC19+AC20)+AC10*a_return_rate*a_return_salvage_rate*a_act_basis_pu/a_cur_div</f>
        <v>-1784.371875</v>
      </c>
      <c r="AD21" s="61" t="n">
        <f aca="false">a_shrinkage_rate*(AD18+AD19+AD20)+AD10*a_return_rate*a_return_salvage_rate*a_act_basis_pu/a_cur_div</f>
        <v>-1784.371875</v>
      </c>
      <c r="AE21" s="61" t="n">
        <f aca="false">a_shrinkage_rate*(AE18+AE19+AE20)+AE10*a_return_rate*a_return_salvage_rate*a_act_basis_pu/a_cur_div</f>
        <v>-1784.371875</v>
      </c>
      <c r="AF21" s="61" t="n">
        <f aca="false">a_shrinkage_rate*(AF18+AF19+AF20)+AF10*a_return_rate*a_return_salvage_rate*a_act_basis_pu/a_cur_div</f>
        <v>-1784.371875</v>
      </c>
      <c r="AG21" s="61" t="n">
        <f aca="false">a_shrinkage_rate*(AG18+AG19+AG20)+AG10*a_return_rate*a_return_salvage_rate*a_act_basis_pu/a_cur_div</f>
        <v>-1784.371875</v>
      </c>
      <c r="AH21" s="61" t="n">
        <f aca="false">a_shrinkage_rate*(AH18+AH19+AH20)+AH10*a_return_rate*a_return_salvage_rate*a_act_basis_pu/a_cur_div</f>
        <v>-1784.371875</v>
      </c>
      <c r="AI21" s="61" t="n">
        <f aca="false">a_shrinkage_rate*(AI18+AI19+AI20)+AI10*a_return_rate*a_return_salvage_rate*a_act_basis_pu/a_cur_div</f>
        <v>-1784.371875</v>
      </c>
      <c r="AJ21" s="61" t="n">
        <f aca="false">a_shrinkage_rate*(AJ18+AJ19+AJ20)+AJ10*a_return_rate*a_return_salvage_rate*a_act_basis_pu/a_cur_div</f>
        <v>-1784.371875</v>
      </c>
      <c r="AK21" s="61" t="n">
        <f aca="false">a_shrinkage_rate*(AK18+AK19+AK20)+AK10*a_return_rate*a_return_salvage_rate*a_act_basis_pu/a_cur_div</f>
        <v>-1784.371875</v>
      </c>
      <c r="AL21" s="61" t="n">
        <f aca="false">a_shrinkage_rate*(AL18+AL19+AL20)+AL10*a_return_rate*a_return_salvage_rate*a_act_basis_pu/a_cur_div</f>
        <v>-1784.371875</v>
      </c>
      <c r="AM21" s="1"/>
      <c r="AN21" s="1"/>
      <c r="AO21" s="1"/>
      <c r="AP21" s="1"/>
      <c r="AQ21" s="1"/>
      <c r="AR21" s="1"/>
      <c r="AS21" s="1"/>
      <c r="AT21" s="1"/>
    </row>
    <row r="22" customFormat="false" ht="15" hidden="false" customHeight="false" outlineLevel="0" collapsed="false">
      <c r="A22" s="1"/>
      <c r="B22" s="63" t="s">
        <v>507</v>
      </c>
      <c r="C22" s="64" t="n">
        <f aca="false">C17+C18+C19+C20+C21</f>
        <v>9629.73484848485</v>
      </c>
      <c r="D22" s="64" t="n">
        <f aca="false">D17+D18+D19+D20+D21</f>
        <v>19259.4696969697</v>
      </c>
      <c r="E22" s="64" t="n">
        <f aca="false">E17+E18+E19+E20+E21</f>
        <v>28889.2045454545</v>
      </c>
      <c r="F22" s="64" t="n">
        <f aca="false">F17+F18+F19+F20+F21</f>
        <v>45518.9393939394</v>
      </c>
      <c r="G22" s="64" t="n">
        <f aca="false">G17+G18+G19+G20+G21</f>
        <v>56898.6742424242</v>
      </c>
      <c r="H22" s="64" t="n">
        <f aca="false">H17+H18+H19+H20+H21</f>
        <v>68278.4090909091</v>
      </c>
      <c r="I22" s="64" t="n">
        <f aca="false">I17+I18+I19+I20+I21</f>
        <v>79658.1439393939</v>
      </c>
      <c r="J22" s="64" t="n">
        <f aca="false">J17+J18+J19+J20+J21</f>
        <v>91037.8787878788</v>
      </c>
      <c r="K22" s="64" t="n">
        <f aca="false">K17+K18+K19+K20+K21</f>
        <v>102417.613636364</v>
      </c>
      <c r="L22" s="64" t="n">
        <f aca="false">L17+L18+L19+L20+L21</f>
        <v>102417.613636364</v>
      </c>
      <c r="M22" s="64" t="n">
        <f aca="false">M17+M18+M19+M20+M21</f>
        <v>102417.613636364</v>
      </c>
      <c r="N22" s="64" t="n">
        <f aca="false">N17+N18+N19+N20+N21</f>
        <v>102417.613636364</v>
      </c>
      <c r="O22" s="64" t="n">
        <f aca="false">O17+O18+O19+O20+O21</f>
        <v>123925.3125</v>
      </c>
      <c r="P22" s="64" t="n">
        <f aca="false">P17+P18+P19+P20+P21</f>
        <v>123925.3125</v>
      </c>
      <c r="Q22" s="64" t="n">
        <f aca="false">Q17+Q18+Q19+Q20+Q21</f>
        <v>123925.3125</v>
      </c>
      <c r="R22" s="64" t="n">
        <f aca="false">R17+R18+R19+R20+R21</f>
        <v>123925.3125</v>
      </c>
      <c r="S22" s="64" t="n">
        <f aca="false">S17+S18+S19+S20+S21</f>
        <v>123925.3125</v>
      </c>
      <c r="T22" s="64" t="n">
        <f aca="false">T17+T18+T19+T20+T21</f>
        <v>123925.3125</v>
      </c>
      <c r="U22" s="64" t="n">
        <f aca="false">U17+U18+U19+U20+U21</f>
        <v>123925.3125</v>
      </c>
      <c r="V22" s="64" t="n">
        <f aca="false">V17+V18+V19+V20+V21</f>
        <v>123925.3125</v>
      </c>
      <c r="W22" s="64" t="n">
        <f aca="false">W17+W18+W19+W20+W21</f>
        <v>123925.3125</v>
      </c>
      <c r="X22" s="64" t="n">
        <f aca="false">X17+X18+X19+X20+X21</f>
        <v>123925.3125</v>
      </c>
      <c r="Y22" s="64" t="n">
        <f aca="false">Y17+Y18+Y19+Y20+Y21</f>
        <v>123925.3125</v>
      </c>
      <c r="Z22" s="64" t="n">
        <f aca="false">Z17+Z18+Z19+Z20+Z21</f>
        <v>123925.3125</v>
      </c>
      <c r="AA22" s="64" t="n">
        <f aca="false">AA17+AA18+AA19+AA20+AA21</f>
        <v>149949.628125</v>
      </c>
      <c r="AB22" s="64" t="n">
        <f aca="false">AB17+AB18+AB19+AB20+AB21</f>
        <v>149949.628125</v>
      </c>
      <c r="AC22" s="64" t="n">
        <f aca="false">AC17+AC18+AC19+AC20+AC21</f>
        <v>149949.628125</v>
      </c>
      <c r="AD22" s="64" t="n">
        <f aca="false">AD17+AD18+AD19+AD20+AD21</f>
        <v>149949.628125</v>
      </c>
      <c r="AE22" s="64" t="n">
        <f aca="false">AE17+AE18+AE19+AE20+AE21</f>
        <v>149949.628125</v>
      </c>
      <c r="AF22" s="64" t="n">
        <f aca="false">AF17+AF18+AF19+AF20+AF21</f>
        <v>149949.628125</v>
      </c>
      <c r="AG22" s="64" t="n">
        <f aca="false">AG17+AG18+AG19+AG20+AG21</f>
        <v>149949.628125</v>
      </c>
      <c r="AH22" s="64" t="n">
        <f aca="false">AH17+AH18+AH19+AH20+AH21</f>
        <v>149949.628125</v>
      </c>
      <c r="AI22" s="64" t="n">
        <f aca="false">AI17+AI18+AI19+AI20+AI21</f>
        <v>149949.628125</v>
      </c>
      <c r="AJ22" s="64" t="n">
        <f aca="false">AJ17+AJ18+AJ19+AJ20+AJ21</f>
        <v>149949.628125</v>
      </c>
      <c r="AK22" s="64" t="n">
        <f aca="false">AK17+AK18+AK19+AK20+AK21</f>
        <v>149949.628125</v>
      </c>
      <c r="AL22" s="64" t="n">
        <f aca="false">AL17+AL18+AL19+AL20+AL21</f>
        <v>149949.628125</v>
      </c>
      <c r="AM22" s="1"/>
      <c r="AN22" s="1"/>
      <c r="AO22" s="1"/>
      <c r="AP22" s="1"/>
      <c r="AQ22" s="1"/>
      <c r="AR22" s="1"/>
      <c r="AS22" s="1"/>
      <c r="AT22" s="1"/>
    </row>
    <row r="23" customFormat="false" ht="15" hidden="false" customHeight="false" outlineLevel="0" collapsed="false">
      <c r="A23" s="1"/>
      <c r="B23" s="30" t="s">
        <v>508</v>
      </c>
      <c r="C23" s="61" t="n">
        <f aca="false">-C10*a_act_referral_pu/a_cur_div</f>
        <v>-3033.33333333333</v>
      </c>
      <c r="D23" s="61" t="n">
        <f aca="false">-D10*a_act_referral_pu/a_cur_div</f>
        <v>-6066.66666666667</v>
      </c>
      <c r="E23" s="61" t="n">
        <f aca="false">-E10*a_act_referral_pu/a_cur_div</f>
        <v>-9100</v>
      </c>
      <c r="F23" s="61" t="n">
        <f aca="false">-F10*a_act_referral_pu/a_cur_div</f>
        <v>-12133.3333333333</v>
      </c>
      <c r="G23" s="61" t="n">
        <f aca="false">-G10*a_act_referral_pu/a_cur_div</f>
        <v>-15166.6666666667</v>
      </c>
      <c r="H23" s="61" t="n">
        <f aca="false">-H10*a_act_referral_pu/a_cur_div</f>
        <v>-18200</v>
      </c>
      <c r="I23" s="61" t="n">
        <f aca="false">-I10*a_act_referral_pu/a_cur_div</f>
        <v>-21233.3333333333</v>
      </c>
      <c r="J23" s="61" t="n">
        <f aca="false">-J10*a_act_referral_pu/a_cur_div</f>
        <v>-24266.6666666667</v>
      </c>
      <c r="K23" s="61" t="n">
        <f aca="false">-K10*a_act_referral_pu/a_cur_div</f>
        <v>-27300</v>
      </c>
      <c r="L23" s="61" t="n">
        <f aca="false">-L10*a_act_referral_pu/a_cur_div</f>
        <v>-27300</v>
      </c>
      <c r="M23" s="61" t="n">
        <f aca="false">-M10*a_act_referral_pu/a_cur_div</f>
        <v>-27300</v>
      </c>
      <c r="N23" s="61" t="n">
        <f aca="false">-N10*a_act_referral_pu/a_cur_div</f>
        <v>-27300</v>
      </c>
      <c r="O23" s="61" t="n">
        <f aca="false">-O10*a_act_referral_pu/a_cur_div</f>
        <v>-33033</v>
      </c>
      <c r="P23" s="61" t="n">
        <f aca="false">-P10*a_act_referral_pu/a_cur_div</f>
        <v>-33033</v>
      </c>
      <c r="Q23" s="61" t="n">
        <f aca="false">-Q10*a_act_referral_pu/a_cur_div</f>
        <v>-33033</v>
      </c>
      <c r="R23" s="61" t="n">
        <f aca="false">-R10*a_act_referral_pu/a_cur_div</f>
        <v>-33033</v>
      </c>
      <c r="S23" s="61" t="n">
        <f aca="false">-S10*a_act_referral_pu/a_cur_div</f>
        <v>-33033</v>
      </c>
      <c r="T23" s="61" t="n">
        <f aca="false">-T10*a_act_referral_pu/a_cur_div</f>
        <v>-33033</v>
      </c>
      <c r="U23" s="61" t="n">
        <f aca="false">-U10*a_act_referral_pu/a_cur_div</f>
        <v>-33033</v>
      </c>
      <c r="V23" s="61" t="n">
        <f aca="false">-V10*a_act_referral_pu/a_cur_div</f>
        <v>-33033</v>
      </c>
      <c r="W23" s="61" t="n">
        <f aca="false">-W10*a_act_referral_pu/a_cur_div</f>
        <v>-33033</v>
      </c>
      <c r="X23" s="61" t="n">
        <f aca="false">-X10*a_act_referral_pu/a_cur_div</f>
        <v>-33033</v>
      </c>
      <c r="Y23" s="61" t="n">
        <f aca="false">-Y10*a_act_referral_pu/a_cur_div</f>
        <v>-33033</v>
      </c>
      <c r="Z23" s="61" t="n">
        <f aca="false">-Z10*a_act_referral_pu/a_cur_div</f>
        <v>-33033</v>
      </c>
      <c r="AA23" s="61" t="n">
        <f aca="false">-AA10*a_act_referral_pu/a_cur_div</f>
        <v>-39969.93</v>
      </c>
      <c r="AB23" s="61" t="n">
        <f aca="false">-AB10*a_act_referral_pu/a_cur_div</f>
        <v>-39969.93</v>
      </c>
      <c r="AC23" s="61" t="n">
        <f aca="false">-AC10*a_act_referral_pu/a_cur_div</f>
        <v>-39969.93</v>
      </c>
      <c r="AD23" s="61" t="n">
        <f aca="false">-AD10*a_act_referral_pu/a_cur_div</f>
        <v>-39969.93</v>
      </c>
      <c r="AE23" s="61" t="n">
        <f aca="false">-AE10*a_act_referral_pu/a_cur_div</f>
        <v>-39969.93</v>
      </c>
      <c r="AF23" s="61" t="n">
        <f aca="false">-AF10*a_act_referral_pu/a_cur_div</f>
        <v>-39969.93</v>
      </c>
      <c r="AG23" s="61" t="n">
        <f aca="false">-AG10*a_act_referral_pu/a_cur_div</f>
        <v>-39969.93</v>
      </c>
      <c r="AH23" s="61" t="n">
        <f aca="false">-AH10*a_act_referral_pu/a_cur_div</f>
        <v>-39969.93</v>
      </c>
      <c r="AI23" s="61" t="n">
        <f aca="false">-AI10*a_act_referral_pu/a_cur_div</f>
        <v>-39969.93</v>
      </c>
      <c r="AJ23" s="61" t="n">
        <f aca="false">-AJ10*a_act_referral_pu/a_cur_div</f>
        <v>-39969.93</v>
      </c>
      <c r="AK23" s="61" t="n">
        <f aca="false">-AK10*a_act_referral_pu/a_cur_div</f>
        <v>-39969.93</v>
      </c>
      <c r="AL23" s="61" t="n">
        <f aca="false">-AL10*a_act_referral_pu/a_cur_div</f>
        <v>-39969.93</v>
      </c>
      <c r="AM23" s="1"/>
      <c r="AN23" s="1"/>
      <c r="AO23" s="1"/>
      <c r="AP23" s="1"/>
      <c r="AQ23" s="1"/>
      <c r="AR23" s="1"/>
      <c r="AS23" s="1"/>
      <c r="AT23" s="1"/>
    </row>
    <row r="24" customFormat="false" ht="15" hidden="false" customHeight="false" outlineLevel="0" collapsed="false">
      <c r="A24" s="1"/>
      <c r="B24" s="19" t="s">
        <v>509</v>
      </c>
      <c r="C24" s="62" t="n">
        <f aca="false">-C10*a_fba_fee_net/a_cur_div</f>
        <v>-3143.93939393939</v>
      </c>
      <c r="D24" s="62" t="n">
        <f aca="false">-D10*a_fba_fee_net/a_cur_div</f>
        <v>-6287.87878787879</v>
      </c>
      <c r="E24" s="62" t="n">
        <f aca="false">-E10*a_fba_fee_net/a_cur_div</f>
        <v>-9431.81818181818</v>
      </c>
      <c r="F24" s="62" t="n">
        <f aca="false">-F10*a_fba_fee_net/a_cur_div</f>
        <v>-12575.7575757576</v>
      </c>
      <c r="G24" s="62" t="n">
        <f aca="false">-G10*a_fba_fee_net/a_cur_div</f>
        <v>-15719.696969697</v>
      </c>
      <c r="H24" s="62" t="n">
        <f aca="false">-H10*a_fba_fee_net/a_cur_div</f>
        <v>-18863.6363636364</v>
      </c>
      <c r="I24" s="62" t="n">
        <f aca="false">-I10*a_fba_fee_net/a_cur_div</f>
        <v>-22007.5757575758</v>
      </c>
      <c r="J24" s="62" t="n">
        <f aca="false">-J10*a_fba_fee_net/a_cur_div</f>
        <v>-25151.5151515152</v>
      </c>
      <c r="K24" s="62" t="n">
        <f aca="false">-K10*a_fba_fee_net/a_cur_div</f>
        <v>-28295.4545454545</v>
      </c>
      <c r="L24" s="62" t="n">
        <f aca="false">-L10*a_fba_fee_net/a_cur_div</f>
        <v>-28295.4545454545</v>
      </c>
      <c r="M24" s="62" t="n">
        <f aca="false">-M10*a_fba_fee_net/a_cur_div</f>
        <v>-28295.4545454545</v>
      </c>
      <c r="N24" s="62" t="n">
        <f aca="false">-N10*a_fba_fee_net/a_cur_div</f>
        <v>-28295.4545454545</v>
      </c>
      <c r="O24" s="62" t="n">
        <f aca="false">-O10*a_fba_fee_net/a_cur_div</f>
        <v>-34237.5</v>
      </c>
      <c r="P24" s="62" t="n">
        <f aca="false">-P10*a_fba_fee_net/a_cur_div</f>
        <v>-34237.5</v>
      </c>
      <c r="Q24" s="62" t="n">
        <f aca="false">-Q10*a_fba_fee_net/a_cur_div</f>
        <v>-34237.5</v>
      </c>
      <c r="R24" s="62" t="n">
        <f aca="false">-R10*a_fba_fee_net/a_cur_div</f>
        <v>-34237.5</v>
      </c>
      <c r="S24" s="62" t="n">
        <f aca="false">-S10*a_fba_fee_net/a_cur_div</f>
        <v>-34237.5</v>
      </c>
      <c r="T24" s="62" t="n">
        <f aca="false">-T10*a_fba_fee_net/a_cur_div</f>
        <v>-34237.5</v>
      </c>
      <c r="U24" s="62" t="n">
        <f aca="false">-U10*a_fba_fee_net/a_cur_div</f>
        <v>-34237.5</v>
      </c>
      <c r="V24" s="62" t="n">
        <f aca="false">-V10*a_fba_fee_net/a_cur_div</f>
        <v>-34237.5</v>
      </c>
      <c r="W24" s="62" t="n">
        <f aca="false">-W10*a_fba_fee_net/a_cur_div</f>
        <v>-34237.5</v>
      </c>
      <c r="X24" s="62" t="n">
        <f aca="false">-X10*a_fba_fee_net/a_cur_div</f>
        <v>-34237.5</v>
      </c>
      <c r="Y24" s="62" t="n">
        <f aca="false">-Y10*a_fba_fee_net/a_cur_div</f>
        <v>-34237.5</v>
      </c>
      <c r="Z24" s="62" t="n">
        <f aca="false">-Z10*a_fba_fee_net/a_cur_div</f>
        <v>-34237.5</v>
      </c>
      <c r="AA24" s="62" t="n">
        <f aca="false">-AA10*a_fba_fee_net/a_cur_div</f>
        <v>-41427.375</v>
      </c>
      <c r="AB24" s="62" t="n">
        <f aca="false">-AB10*a_fba_fee_net/a_cur_div</f>
        <v>-41427.375</v>
      </c>
      <c r="AC24" s="62" t="n">
        <f aca="false">-AC10*a_fba_fee_net/a_cur_div</f>
        <v>-41427.375</v>
      </c>
      <c r="AD24" s="62" t="n">
        <f aca="false">-AD10*a_fba_fee_net/a_cur_div</f>
        <v>-41427.375</v>
      </c>
      <c r="AE24" s="62" t="n">
        <f aca="false">-AE10*a_fba_fee_net/a_cur_div</f>
        <v>-41427.375</v>
      </c>
      <c r="AF24" s="62" t="n">
        <f aca="false">-AF10*a_fba_fee_net/a_cur_div</f>
        <v>-41427.375</v>
      </c>
      <c r="AG24" s="62" t="n">
        <f aca="false">-AG10*a_fba_fee_net/a_cur_div</f>
        <v>-41427.375</v>
      </c>
      <c r="AH24" s="62" t="n">
        <f aca="false">-AH10*a_fba_fee_net/a_cur_div</f>
        <v>-41427.375</v>
      </c>
      <c r="AI24" s="62" t="n">
        <f aca="false">-AI10*a_fba_fee_net/a_cur_div</f>
        <v>-41427.375</v>
      </c>
      <c r="AJ24" s="62" t="n">
        <f aca="false">-AJ10*a_fba_fee_net/a_cur_div</f>
        <v>-41427.375</v>
      </c>
      <c r="AK24" s="62" t="n">
        <f aca="false">-AK10*a_fba_fee_net/a_cur_div</f>
        <v>-41427.375</v>
      </c>
      <c r="AL24" s="62" t="n">
        <f aca="false">-AL10*a_fba_fee_net/a_cur_div</f>
        <v>-41427.375</v>
      </c>
      <c r="AM24" s="1"/>
      <c r="AN24" s="1"/>
      <c r="AO24" s="1"/>
      <c r="AP24" s="1"/>
      <c r="AQ24" s="1"/>
      <c r="AR24" s="1"/>
      <c r="AS24" s="1"/>
      <c r="AT24" s="1"/>
    </row>
    <row r="25" customFormat="false" ht="15" hidden="false" customHeight="false" outlineLevel="0" collapsed="false">
      <c r="A25" s="1"/>
      <c r="B25" s="30" t="s">
        <v>510</v>
      </c>
      <c r="C25" s="61" t="n">
        <f aca="false">-(('Investment and Cash'!E8+'Investment and Cash'!E11)/2)*a_unit_vol_1000cm3*a_storage_rate_jan_sep/a_cur_div</f>
        <v>-264.708</v>
      </c>
      <c r="D25" s="61" t="n">
        <f aca="false">-(('Investment and Cash'!F8+'Investment and Cash'!F11)/2)*a_unit_vol_1000cm3*a_storage_rate_jan_sep/a_cur_div</f>
        <v>-222.912</v>
      </c>
      <c r="E25" s="61" t="n">
        <f aca="false">-(('Investment and Cash'!G8+'Investment and Cash'!G11)/2)*a_unit_vol_1000cm3*a_storage_rate_oct_dec/a_cur_div</f>
        <v>-272.349</v>
      </c>
      <c r="F25" s="61" t="n">
        <f aca="false">-(('Investment and Cash'!H8+'Investment and Cash'!H11)/2)*a_unit_vol_1000cm3*a_storage_rate_oct_dec/a_cur_div</f>
        <v>-346.626</v>
      </c>
      <c r="G25" s="61" t="n">
        <f aca="false">-(('Investment and Cash'!I8+'Investment and Cash'!I11)/2)*a_unit_vol_1000cm3*a_storage_rate_oct_dec/a_cur_div</f>
        <v>-420.903</v>
      </c>
      <c r="H25" s="61" t="n">
        <f aca="false">-(('Investment and Cash'!J8+'Investment and Cash'!J11)/2)*a_unit_vol_1000cm3*a_storage_rate_jan_sep/a_cur_div</f>
        <v>-278.64</v>
      </c>
      <c r="I25" s="61" t="n">
        <f aca="false">-(('Investment and Cash'!K8+'Investment and Cash'!K11)/2)*a_unit_vol_1000cm3*a_storage_rate_jan_sep/a_cur_div</f>
        <v>-320.436</v>
      </c>
      <c r="J25" s="61" t="n">
        <f aca="false">-(('Investment and Cash'!L8+'Investment and Cash'!L11)/2)*a_unit_vol_1000cm3*a_storage_rate_jan_sep/a_cur_div</f>
        <v>-362.232</v>
      </c>
      <c r="K25" s="61" t="n">
        <f aca="false">-(('Investment and Cash'!M8+'Investment and Cash'!M11)/2)*a_unit_vol_1000cm3*a_storage_rate_jan_sep/a_cur_div</f>
        <v>-376.164</v>
      </c>
      <c r="L25" s="61" t="n">
        <f aca="false">-(('Investment and Cash'!N8+'Investment and Cash'!N11)/2)*a_unit_vol_1000cm3*a_storage_rate_jan_sep/a_cur_div</f>
        <v>-376.164</v>
      </c>
      <c r="M25" s="61" t="n">
        <f aca="false">-(('Investment and Cash'!O8+'Investment and Cash'!O11)/2)*a_unit_vol_1000cm3*a_storage_rate_jan_sep/a_cur_div</f>
        <v>-376.164</v>
      </c>
      <c r="N25" s="61" t="n">
        <f aca="false">-(('Investment and Cash'!P8+'Investment and Cash'!P11)/2)*a_unit_vol_1000cm3*a_storage_rate_jan_sep/a_cur_div</f>
        <v>-428.82696</v>
      </c>
      <c r="O25" s="61" t="n">
        <f aca="false">-(('Investment and Cash'!Q8+'Investment and Cash'!Q11)/2)*a_unit_vol_1000cm3*a_storage_rate_jan_sep/a_cur_div</f>
        <v>-455.15844</v>
      </c>
      <c r="P25" s="61" t="n">
        <f aca="false">-(('Investment and Cash'!R8+'Investment and Cash'!R11)/2)*a_unit_vol_1000cm3*a_storage_rate_jan_sep/a_cur_div</f>
        <v>-455.15844</v>
      </c>
      <c r="Q25" s="61" t="n">
        <f aca="false">-(('Investment and Cash'!S8+'Investment and Cash'!S11)/2)*a_unit_vol_1000cm3*a_storage_rate_oct_dec/a_cur_div</f>
        <v>-808.87653</v>
      </c>
      <c r="R25" s="61" t="n">
        <f aca="false">-(('Investment and Cash'!T8+'Investment and Cash'!T11)/2)*a_unit_vol_1000cm3*a_storage_rate_oct_dec/a_cur_div</f>
        <v>-808.87653</v>
      </c>
      <c r="S25" s="61" t="n">
        <f aca="false">-(('Investment and Cash'!U8+'Investment and Cash'!U11)/2)*a_unit_vol_1000cm3*a_storage_rate_oct_dec/a_cur_div</f>
        <v>-808.87653</v>
      </c>
      <c r="T25" s="61" t="n">
        <f aca="false">-(('Investment and Cash'!V8+'Investment and Cash'!V11)/2)*a_unit_vol_1000cm3*a_storage_rate_jan_sep/a_cur_div</f>
        <v>-455.15844</v>
      </c>
      <c r="U25" s="61" t="n">
        <f aca="false">-(('Investment and Cash'!W8+'Investment and Cash'!W11)/2)*a_unit_vol_1000cm3*a_storage_rate_jan_sep/a_cur_div</f>
        <v>-455.15844</v>
      </c>
      <c r="V25" s="61" t="n">
        <f aca="false">-(('Investment and Cash'!X8+'Investment and Cash'!X11)/2)*a_unit_vol_1000cm3*a_storage_rate_jan_sep/a_cur_div</f>
        <v>-455.15844</v>
      </c>
      <c r="W25" s="61" t="n">
        <f aca="false">-(('Investment and Cash'!Y8+'Investment and Cash'!Y11)/2)*a_unit_vol_1000cm3*a_storage_rate_jan_sep/a_cur_div</f>
        <v>-455.15844</v>
      </c>
      <c r="X25" s="61" t="n">
        <f aca="false">-(('Investment and Cash'!Z8+'Investment and Cash'!Z11)/2)*a_unit_vol_1000cm3*a_storage_rate_jan_sep/a_cur_div</f>
        <v>-455.15844</v>
      </c>
      <c r="Y25" s="61" t="n">
        <f aca="false">-(('Investment and Cash'!AA8+'Investment and Cash'!AA11)/2)*a_unit_vol_1000cm3*a_storage_rate_jan_sep/a_cur_div</f>
        <v>-455.15844</v>
      </c>
      <c r="Z25" s="61" t="n">
        <f aca="false">-(('Investment and Cash'!AB8+'Investment and Cash'!AB11)/2)*a_unit_vol_1000cm3*a_storage_rate_jan_sep/a_cur_div</f>
        <v>-518.8806216</v>
      </c>
      <c r="AA25" s="61" t="n">
        <f aca="false">-(('Investment and Cash'!AC8+'Investment and Cash'!AC11)/2)*a_unit_vol_1000cm3*a_storage_rate_jan_sep/a_cur_div</f>
        <v>-550.7417124</v>
      </c>
      <c r="AB25" s="61" t="n">
        <f aca="false">-(('Investment and Cash'!AD8+'Investment and Cash'!AD11)/2)*a_unit_vol_1000cm3*a_storage_rate_jan_sep/a_cur_div</f>
        <v>-550.7417124</v>
      </c>
      <c r="AC25" s="61" t="n">
        <f aca="false">-(('Investment and Cash'!AE8+'Investment and Cash'!AE11)/2)*a_unit_vol_1000cm3*a_storage_rate_oct_dec/a_cur_div</f>
        <v>-978.7406013</v>
      </c>
      <c r="AD25" s="61" t="n">
        <f aca="false">-(('Investment and Cash'!AF8+'Investment and Cash'!AF11)/2)*a_unit_vol_1000cm3*a_storage_rate_oct_dec/a_cur_div</f>
        <v>-978.7406013</v>
      </c>
      <c r="AE25" s="61" t="n">
        <f aca="false">-(('Investment and Cash'!AG8+'Investment and Cash'!AG11)/2)*a_unit_vol_1000cm3*a_storage_rate_oct_dec/a_cur_div</f>
        <v>-978.7406013</v>
      </c>
      <c r="AF25" s="61" t="n">
        <f aca="false">-(('Investment and Cash'!AH8+'Investment and Cash'!AH11)/2)*a_unit_vol_1000cm3*a_storage_rate_jan_sep/a_cur_div</f>
        <v>-550.7417124</v>
      </c>
      <c r="AG25" s="61" t="n">
        <f aca="false">-(('Investment and Cash'!AI8+'Investment and Cash'!AI11)/2)*a_unit_vol_1000cm3*a_storage_rate_jan_sep/a_cur_div</f>
        <v>-550.7417124</v>
      </c>
      <c r="AH25" s="61" t="n">
        <f aca="false">-(('Investment and Cash'!AJ8+'Investment and Cash'!AJ11)/2)*a_unit_vol_1000cm3*a_storage_rate_jan_sep/a_cur_div</f>
        <v>-550.7417124</v>
      </c>
      <c r="AI25" s="61" t="n">
        <f aca="false">-(('Investment and Cash'!AK8+'Investment and Cash'!AK11)/2)*a_unit_vol_1000cm3*a_storage_rate_jan_sep/a_cur_div</f>
        <v>-550.7417124</v>
      </c>
      <c r="AJ25" s="61" t="n">
        <f aca="false">-(('Investment and Cash'!AL8+'Investment and Cash'!AL11)/2)*a_unit_vol_1000cm3*a_storage_rate_jan_sep/a_cur_div</f>
        <v>-550.7417124</v>
      </c>
      <c r="AK25" s="61" t="n">
        <f aca="false">-(('Investment and Cash'!AM8+'Investment and Cash'!AM11)/2)*a_unit_vol_1000cm3*a_storage_rate_jan_sep/a_cur_div</f>
        <v>-550.7417124</v>
      </c>
      <c r="AL25" s="61" t="n">
        <f aca="false">-(('Investment and Cash'!AN8+'Investment and Cash'!AN11)/2)*a_unit_vol_1000cm3*a_storage_rate_jan_sep/a_cur_div</f>
        <v>-183.5805708</v>
      </c>
      <c r="AM25" s="1"/>
      <c r="AN25" s="1"/>
      <c r="AO25" s="1"/>
      <c r="AP25" s="1"/>
      <c r="AQ25" s="1"/>
      <c r="AR25" s="1"/>
      <c r="AS25" s="1"/>
      <c r="AT25" s="1"/>
    </row>
    <row r="26" customFormat="false" ht="15" hidden="false" customHeight="false" outlineLevel="0" collapsed="false">
      <c r="A26" s="1"/>
      <c r="B26" s="19" t="s">
        <v>511</v>
      </c>
      <c r="C26" s="62" t="n">
        <f aca="false">INDEX('PL Monthly'!C41:C43,MATCH(a_scenario,a_scn_names,0))/a_cur_div</f>
        <v>-0</v>
      </c>
      <c r="D26" s="62" t="n">
        <f aca="false">INDEX('PL Monthly'!D41:D43,MATCH(a_scenario,a_scn_names,0))/a_cur_div</f>
        <v>-0</v>
      </c>
      <c r="E26" s="62" t="n">
        <f aca="false">INDEX('PL Monthly'!E41:E43,MATCH(a_scenario,a_scn_names,0))/a_cur_div</f>
        <v>-0</v>
      </c>
      <c r="F26" s="62" t="n">
        <f aca="false">INDEX('PL Monthly'!F41:F43,MATCH(a_scenario,a_scn_names,0))/a_cur_div</f>
        <v>-0</v>
      </c>
      <c r="G26" s="62" t="n">
        <f aca="false">INDEX('PL Monthly'!G41:G43,MATCH(a_scenario,a_scn_names,0))/a_cur_div</f>
        <v>-0</v>
      </c>
      <c r="H26" s="62" t="n">
        <f aca="false">INDEX('PL Monthly'!H41:H43,MATCH(a_scenario,a_scn_names,0))/a_cur_div</f>
        <v>-0</v>
      </c>
      <c r="I26" s="62" t="n">
        <f aca="false">INDEX('PL Monthly'!I41:I43,MATCH(a_scenario,a_scn_names,0))/a_cur_div</f>
        <v>-0</v>
      </c>
      <c r="J26" s="62" t="n">
        <f aca="false">INDEX('PL Monthly'!J41:J43,MATCH(a_scenario,a_scn_names,0))/a_cur_div</f>
        <v>-0</v>
      </c>
      <c r="K26" s="62" t="n">
        <f aca="false">INDEX('PL Monthly'!K41:K43,MATCH(a_scenario,a_scn_names,0))/a_cur_div</f>
        <v>-0</v>
      </c>
      <c r="L26" s="62" t="n">
        <f aca="false">INDEX('PL Monthly'!L41:L43,MATCH(a_scenario,a_scn_names,0))/a_cur_div</f>
        <v>-0</v>
      </c>
      <c r="M26" s="62" t="n">
        <f aca="false">INDEX('PL Monthly'!M41:M43,MATCH(a_scenario,a_scn_names,0))/a_cur_div</f>
        <v>-0</v>
      </c>
      <c r="N26" s="62" t="n">
        <f aca="false">INDEX('PL Monthly'!N41:N43,MATCH(a_scenario,a_scn_names,0))/a_cur_div</f>
        <v>-0</v>
      </c>
      <c r="O26" s="62" t="n">
        <f aca="false">INDEX('PL Monthly'!O41:O43,MATCH(a_scenario,a_scn_names,0))/a_cur_div</f>
        <v>-0</v>
      </c>
      <c r="P26" s="62" t="n">
        <f aca="false">INDEX('PL Monthly'!P41:P43,MATCH(a_scenario,a_scn_names,0))/a_cur_div</f>
        <v>-0</v>
      </c>
      <c r="Q26" s="62" t="n">
        <f aca="false">INDEX('PL Monthly'!Q41:Q43,MATCH(a_scenario,a_scn_names,0))/a_cur_div</f>
        <v>-0</v>
      </c>
      <c r="R26" s="62" t="n">
        <f aca="false">INDEX('PL Monthly'!R41:R43,MATCH(a_scenario,a_scn_names,0))/a_cur_div</f>
        <v>-0</v>
      </c>
      <c r="S26" s="62" t="n">
        <f aca="false">INDEX('PL Monthly'!S41:S43,MATCH(a_scenario,a_scn_names,0))/a_cur_div</f>
        <v>-0</v>
      </c>
      <c r="T26" s="62" t="n">
        <f aca="false">INDEX('PL Monthly'!T41:T43,MATCH(a_scenario,a_scn_names,0))/a_cur_div</f>
        <v>-0</v>
      </c>
      <c r="U26" s="62" t="n">
        <f aca="false">INDEX('PL Monthly'!U41:U43,MATCH(a_scenario,a_scn_names,0))/a_cur_div</f>
        <v>-0</v>
      </c>
      <c r="V26" s="62" t="n">
        <f aca="false">INDEX('PL Monthly'!V41:V43,MATCH(a_scenario,a_scn_names,0))/a_cur_div</f>
        <v>-0</v>
      </c>
      <c r="W26" s="62" t="n">
        <f aca="false">INDEX('PL Monthly'!W41:W43,MATCH(a_scenario,a_scn_names,0))/a_cur_div</f>
        <v>-0</v>
      </c>
      <c r="X26" s="62" t="n">
        <f aca="false">INDEX('PL Monthly'!X41:X43,MATCH(a_scenario,a_scn_names,0))/a_cur_div</f>
        <v>-0</v>
      </c>
      <c r="Y26" s="62" t="n">
        <f aca="false">INDEX('PL Monthly'!Y41:Y43,MATCH(a_scenario,a_scn_names,0))/a_cur_div</f>
        <v>-0</v>
      </c>
      <c r="Z26" s="62" t="n">
        <f aca="false">INDEX('PL Monthly'!Z41:Z43,MATCH(a_scenario,a_scn_names,0))/a_cur_div</f>
        <v>-0</v>
      </c>
      <c r="AA26" s="62" t="n">
        <f aca="false">INDEX('PL Monthly'!AA41:AA43,MATCH(a_scenario,a_scn_names,0))/a_cur_div</f>
        <v>-0</v>
      </c>
      <c r="AB26" s="62" t="n">
        <f aca="false">INDEX('PL Monthly'!AB41:AB43,MATCH(a_scenario,a_scn_names,0))/a_cur_div</f>
        <v>-0</v>
      </c>
      <c r="AC26" s="62" t="n">
        <f aca="false">INDEX('PL Monthly'!AC41:AC43,MATCH(a_scenario,a_scn_names,0))/a_cur_div</f>
        <v>-0</v>
      </c>
      <c r="AD26" s="62" t="n">
        <f aca="false">INDEX('PL Monthly'!AD41:AD43,MATCH(a_scenario,a_scn_names,0))/a_cur_div</f>
        <v>-0</v>
      </c>
      <c r="AE26" s="62" t="n">
        <f aca="false">INDEX('PL Monthly'!AE41:AE43,MATCH(a_scenario,a_scn_names,0))/a_cur_div</f>
        <v>-0</v>
      </c>
      <c r="AF26" s="62" t="n">
        <f aca="false">INDEX('PL Monthly'!AF41:AF43,MATCH(a_scenario,a_scn_names,0))/a_cur_div</f>
        <v>-0</v>
      </c>
      <c r="AG26" s="62" t="n">
        <f aca="false">INDEX('PL Monthly'!AG41:AG43,MATCH(a_scenario,a_scn_names,0))/a_cur_div</f>
        <v>-0</v>
      </c>
      <c r="AH26" s="62" t="n">
        <f aca="false">INDEX('PL Monthly'!AH41:AH43,MATCH(a_scenario,a_scn_names,0))/a_cur_div</f>
        <v>-0</v>
      </c>
      <c r="AI26" s="62" t="n">
        <f aca="false">INDEX('PL Monthly'!AI41:AI43,MATCH(a_scenario,a_scn_names,0))/a_cur_div</f>
        <v>-0</v>
      </c>
      <c r="AJ26" s="62" t="n">
        <f aca="false">INDEX('PL Monthly'!AJ41:AJ43,MATCH(a_scenario,a_scn_names,0))/a_cur_div</f>
        <v>-0</v>
      </c>
      <c r="AK26" s="62" t="n">
        <f aca="false">INDEX('PL Monthly'!AK41:AK43,MATCH(a_scenario,a_scn_names,0))/a_cur_div</f>
        <v>-0</v>
      </c>
      <c r="AL26" s="62" t="n">
        <f aca="false">INDEX('PL Monthly'!AL41:AL43,MATCH(a_scenario,a_scn_names,0))/a_cur_div</f>
        <v>-0</v>
      </c>
      <c r="AM26" s="1"/>
      <c r="AN26" s="1"/>
      <c r="AO26" s="1"/>
      <c r="AP26" s="1"/>
      <c r="AQ26" s="1"/>
      <c r="AR26" s="1"/>
      <c r="AS26" s="1"/>
      <c r="AT26" s="1"/>
    </row>
    <row r="27" customFormat="false" ht="15" hidden="false" customHeight="false" outlineLevel="0" collapsed="false">
      <c r="A27" s="1"/>
      <c r="B27" s="30" t="s">
        <v>512</v>
      </c>
      <c r="C27" s="61" t="n">
        <f aca="false">C10*a_return_rate*(a_act_referral_pu-a_act_refund_admin_pu)/a_cur_div</f>
        <v>48.5333333333333</v>
      </c>
      <c r="D27" s="61" t="n">
        <f aca="false">D10*a_return_rate*(a_act_referral_pu-a_act_refund_admin_pu)/a_cur_div</f>
        <v>97.0666666666667</v>
      </c>
      <c r="E27" s="61" t="n">
        <f aca="false">E10*a_return_rate*(a_act_referral_pu-a_act_refund_admin_pu)/a_cur_div</f>
        <v>145.6</v>
      </c>
      <c r="F27" s="61" t="n">
        <f aca="false">F10*a_return_rate*(a_act_referral_pu-a_act_refund_admin_pu)/a_cur_div</f>
        <v>194.133333333333</v>
      </c>
      <c r="G27" s="61" t="n">
        <f aca="false">G10*a_return_rate*(a_act_referral_pu-a_act_refund_admin_pu)/a_cur_div</f>
        <v>242.666666666667</v>
      </c>
      <c r="H27" s="61" t="n">
        <f aca="false">H10*a_return_rate*(a_act_referral_pu-a_act_refund_admin_pu)/a_cur_div</f>
        <v>291.2</v>
      </c>
      <c r="I27" s="61" t="n">
        <f aca="false">I10*a_return_rate*(a_act_referral_pu-a_act_refund_admin_pu)/a_cur_div</f>
        <v>339.733333333333</v>
      </c>
      <c r="J27" s="61" t="n">
        <f aca="false">J10*a_return_rate*(a_act_referral_pu-a_act_refund_admin_pu)/a_cur_div</f>
        <v>388.266666666667</v>
      </c>
      <c r="K27" s="61" t="n">
        <f aca="false">K10*a_return_rate*(a_act_referral_pu-a_act_refund_admin_pu)/a_cur_div</f>
        <v>436.8</v>
      </c>
      <c r="L27" s="61" t="n">
        <f aca="false">L10*a_return_rate*(a_act_referral_pu-a_act_refund_admin_pu)/a_cur_div</f>
        <v>436.8</v>
      </c>
      <c r="M27" s="61" t="n">
        <f aca="false">M10*a_return_rate*(a_act_referral_pu-a_act_refund_admin_pu)/a_cur_div</f>
        <v>436.8</v>
      </c>
      <c r="N27" s="61" t="n">
        <f aca="false">N10*a_return_rate*(a_act_referral_pu-a_act_refund_admin_pu)/a_cur_div</f>
        <v>436.8</v>
      </c>
      <c r="O27" s="61" t="n">
        <f aca="false">O10*a_return_rate*(a_act_referral_pu-a_act_refund_admin_pu)/a_cur_div</f>
        <v>528.528</v>
      </c>
      <c r="P27" s="61" t="n">
        <f aca="false">P10*a_return_rate*(a_act_referral_pu-a_act_refund_admin_pu)/a_cur_div</f>
        <v>528.528</v>
      </c>
      <c r="Q27" s="61" t="n">
        <f aca="false">Q10*a_return_rate*(a_act_referral_pu-a_act_refund_admin_pu)/a_cur_div</f>
        <v>528.528</v>
      </c>
      <c r="R27" s="61" t="n">
        <f aca="false">R10*a_return_rate*(a_act_referral_pu-a_act_refund_admin_pu)/a_cur_div</f>
        <v>528.528</v>
      </c>
      <c r="S27" s="61" t="n">
        <f aca="false">S10*a_return_rate*(a_act_referral_pu-a_act_refund_admin_pu)/a_cur_div</f>
        <v>528.528</v>
      </c>
      <c r="T27" s="61" t="n">
        <f aca="false">T10*a_return_rate*(a_act_referral_pu-a_act_refund_admin_pu)/a_cur_div</f>
        <v>528.528</v>
      </c>
      <c r="U27" s="61" t="n">
        <f aca="false">U10*a_return_rate*(a_act_referral_pu-a_act_refund_admin_pu)/a_cur_div</f>
        <v>528.528</v>
      </c>
      <c r="V27" s="61" t="n">
        <f aca="false">V10*a_return_rate*(a_act_referral_pu-a_act_refund_admin_pu)/a_cur_div</f>
        <v>528.528</v>
      </c>
      <c r="W27" s="61" t="n">
        <f aca="false">W10*a_return_rate*(a_act_referral_pu-a_act_refund_admin_pu)/a_cur_div</f>
        <v>528.528</v>
      </c>
      <c r="X27" s="61" t="n">
        <f aca="false">X10*a_return_rate*(a_act_referral_pu-a_act_refund_admin_pu)/a_cur_div</f>
        <v>528.528</v>
      </c>
      <c r="Y27" s="61" t="n">
        <f aca="false">Y10*a_return_rate*(a_act_referral_pu-a_act_refund_admin_pu)/a_cur_div</f>
        <v>528.528</v>
      </c>
      <c r="Z27" s="61" t="n">
        <f aca="false">Z10*a_return_rate*(a_act_referral_pu-a_act_refund_admin_pu)/a_cur_div</f>
        <v>528.528</v>
      </c>
      <c r="AA27" s="61" t="n">
        <f aca="false">AA10*a_return_rate*(a_act_referral_pu-a_act_refund_admin_pu)/a_cur_div</f>
        <v>639.51888</v>
      </c>
      <c r="AB27" s="61" t="n">
        <f aca="false">AB10*a_return_rate*(a_act_referral_pu-a_act_refund_admin_pu)/a_cur_div</f>
        <v>639.51888</v>
      </c>
      <c r="AC27" s="61" t="n">
        <f aca="false">AC10*a_return_rate*(a_act_referral_pu-a_act_refund_admin_pu)/a_cur_div</f>
        <v>639.51888</v>
      </c>
      <c r="AD27" s="61" t="n">
        <f aca="false">AD10*a_return_rate*(a_act_referral_pu-a_act_refund_admin_pu)/a_cur_div</f>
        <v>639.51888</v>
      </c>
      <c r="AE27" s="61" t="n">
        <f aca="false">AE10*a_return_rate*(a_act_referral_pu-a_act_refund_admin_pu)/a_cur_div</f>
        <v>639.51888</v>
      </c>
      <c r="AF27" s="61" t="n">
        <f aca="false">AF10*a_return_rate*(a_act_referral_pu-a_act_refund_admin_pu)/a_cur_div</f>
        <v>639.51888</v>
      </c>
      <c r="AG27" s="61" t="n">
        <f aca="false">AG10*a_return_rate*(a_act_referral_pu-a_act_refund_admin_pu)/a_cur_div</f>
        <v>639.51888</v>
      </c>
      <c r="AH27" s="61" t="n">
        <f aca="false">AH10*a_return_rate*(a_act_referral_pu-a_act_refund_admin_pu)/a_cur_div</f>
        <v>639.51888</v>
      </c>
      <c r="AI27" s="61" t="n">
        <f aca="false">AI10*a_return_rate*(a_act_referral_pu-a_act_refund_admin_pu)/a_cur_div</f>
        <v>639.51888</v>
      </c>
      <c r="AJ27" s="61" t="n">
        <f aca="false">AJ10*a_return_rate*(a_act_referral_pu-a_act_refund_admin_pu)/a_cur_div</f>
        <v>639.51888</v>
      </c>
      <c r="AK27" s="61" t="n">
        <f aca="false">AK10*a_return_rate*(a_act_referral_pu-a_act_refund_admin_pu)/a_cur_div</f>
        <v>639.51888</v>
      </c>
      <c r="AL27" s="61" t="n">
        <f aca="false">AL10*a_return_rate*(a_act_referral_pu-a_act_refund_admin_pu)/a_cur_div</f>
        <v>639.51888</v>
      </c>
      <c r="AM27" s="1"/>
      <c r="AN27" s="1"/>
      <c r="AO27" s="1"/>
      <c r="AP27" s="1"/>
      <c r="AQ27" s="1"/>
      <c r="AR27" s="1"/>
      <c r="AS27" s="1"/>
      <c r="AT27" s="1"/>
    </row>
    <row r="28" customFormat="false" ht="15" hidden="false" customHeight="false" outlineLevel="0" collapsed="false">
      <c r="A28" s="1"/>
      <c r="B28" s="63" t="s">
        <v>513</v>
      </c>
      <c r="C28" s="64" t="n">
        <f aca="false">C22+C23+C24+C25+C26+C27</f>
        <v>3236.28745454546</v>
      </c>
      <c r="D28" s="64" t="n">
        <f aca="false">D22+D23+D24+D25+D26+D27</f>
        <v>6779.07890909091</v>
      </c>
      <c r="E28" s="64" t="n">
        <f aca="false">E22+E23+E24+E25+E26+E27</f>
        <v>10230.6373636364</v>
      </c>
      <c r="F28" s="64" t="n">
        <f aca="false">F22+F23+F24+F25+F26+F27</f>
        <v>20657.3558181818</v>
      </c>
      <c r="G28" s="64" t="n">
        <f aca="false">G22+G23+G24+G25+G26+G27</f>
        <v>25834.0742727273</v>
      </c>
      <c r="H28" s="64" t="n">
        <f aca="false">H22+H23+H24+H25+H26+H27</f>
        <v>31227.3327272727</v>
      </c>
      <c r="I28" s="64" t="n">
        <f aca="false">I22+I23+I24+I25+I26+I27</f>
        <v>36436.5321818182</v>
      </c>
      <c r="J28" s="64" t="n">
        <f aca="false">J22+J23+J24+J25+J26+J27</f>
        <v>41645.7316363636</v>
      </c>
      <c r="K28" s="64" t="n">
        <f aca="false">K22+K23+K24+K25+K26+K27</f>
        <v>46882.7950909091</v>
      </c>
      <c r="L28" s="64" t="n">
        <f aca="false">L22+L23+L24+L25+L26+L27</f>
        <v>46882.7950909091</v>
      </c>
      <c r="M28" s="64" t="n">
        <f aca="false">M22+M23+M24+M25+M26+M27</f>
        <v>46882.7950909091</v>
      </c>
      <c r="N28" s="64" t="n">
        <f aca="false">N22+N23+N24+N25+N26+N27</f>
        <v>46830.1321309091</v>
      </c>
      <c r="O28" s="64" t="n">
        <f aca="false">O22+O23+O24+O25+O26+O27</f>
        <v>56728.18206</v>
      </c>
      <c r="P28" s="64" t="n">
        <f aca="false">P22+P23+P24+P25+P26+P27</f>
        <v>56728.18206</v>
      </c>
      <c r="Q28" s="64" t="n">
        <f aca="false">Q22+Q23+Q24+Q25+Q26+Q27</f>
        <v>56374.46397</v>
      </c>
      <c r="R28" s="64" t="n">
        <f aca="false">R22+R23+R24+R25+R26+R27</f>
        <v>56374.46397</v>
      </c>
      <c r="S28" s="64" t="n">
        <f aca="false">S22+S23+S24+S25+S26+S27</f>
        <v>56374.46397</v>
      </c>
      <c r="T28" s="64" t="n">
        <f aca="false">T22+T23+T24+T25+T26+T27</f>
        <v>56728.18206</v>
      </c>
      <c r="U28" s="64" t="n">
        <f aca="false">U22+U23+U24+U25+U26+U27</f>
        <v>56728.18206</v>
      </c>
      <c r="V28" s="64" t="n">
        <f aca="false">V22+V23+V24+V25+V26+V27</f>
        <v>56728.18206</v>
      </c>
      <c r="W28" s="64" t="n">
        <f aca="false">W22+W23+W24+W25+W26+W27</f>
        <v>56728.18206</v>
      </c>
      <c r="X28" s="64" t="n">
        <f aca="false">X22+X23+X24+X25+X26+X27</f>
        <v>56728.18206</v>
      </c>
      <c r="Y28" s="64" t="n">
        <f aca="false">Y22+Y23+Y24+Y25+Y26+Y27</f>
        <v>56728.18206</v>
      </c>
      <c r="Z28" s="64" t="n">
        <f aca="false">Z22+Z23+Z24+Z25+Z26+Z27</f>
        <v>56664.4598784</v>
      </c>
      <c r="AA28" s="64" t="n">
        <f aca="false">AA22+AA23+AA24+AA25+AA26+AA27</f>
        <v>68641.1002926</v>
      </c>
      <c r="AB28" s="64" t="n">
        <f aca="false">AB22+AB23+AB24+AB25+AB26+AB27</f>
        <v>68641.1002926</v>
      </c>
      <c r="AC28" s="64" t="n">
        <f aca="false">AC22+AC23+AC24+AC25+AC26+AC27</f>
        <v>68213.1014037</v>
      </c>
      <c r="AD28" s="64" t="n">
        <f aca="false">AD22+AD23+AD24+AD25+AD26+AD27</f>
        <v>68213.1014037</v>
      </c>
      <c r="AE28" s="64" t="n">
        <f aca="false">AE22+AE23+AE24+AE25+AE26+AE27</f>
        <v>68213.1014037</v>
      </c>
      <c r="AF28" s="64" t="n">
        <f aca="false">AF22+AF23+AF24+AF25+AF26+AF27</f>
        <v>68641.1002926</v>
      </c>
      <c r="AG28" s="64" t="n">
        <f aca="false">AG22+AG23+AG24+AG25+AG26+AG27</f>
        <v>68641.1002926</v>
      </c>
      <c r="AH28" s="64" t="n">
        <f aca="false">AH22+AH23+AH24+AH25+AH26+AH27</f>
        <v>68641.1002926</v>
      </c>
      <c r="AI28" s="64" t="n">
        <f aca="false">AI22+AI23+AI24+AI25+AI26+AI27</f>
        <v>68641.1002926</v>
      </c>
      <c r="AJ28" s="64" t="n">
        <f aca="false">AJ22+AJ23+AJ24+AJ25+AJ26+AJ27</f>
        <v>68641.1002926</v>
      </c>
      <c r="AK28" s="64" t="n">
        <f aca="false">AK22+AK23+AK24+AK25+AK26+AK27</f>
        <v>68641.1002926</v>
      </c>
      <c r="AL28" s="64" t="n">
        <f aca="false">AL22+AL23+AL24+AL25+AL26+AL27</f>
        <v>69008.2614342</v>
      </c>
      <c r="AM28" s="1"/>
      <c r="AN28" s="1"/>
      <c r="AO28" s="1"/>
      <c r="AP28" s="1"/>
      <c r="AQ28" s="1"/>
      <c r="AR28" s="1"/>
      <c r="AS28" s="1"/>
      <c r="AT28" s="1"/>
    </row>
    <row r="29" customFormat="false" ht="15" hidden="false" customHeight="false" outlineLevel="0" collapsed="false">
      <c r="A29" s="1"/>
      <c r="B29" s="30" t="s">
        <v>514</v>
      </c>
      <c r="C29" s="61" t="n">
        <f aca="false">-MAX(C12*MAX(0,a_act_tacos_y1_start+(a_act_tacos_y1_end-a_act_tacos_y1_start)*(1-1)/11),a_ppc_launch_monthly_min_jpy/a_cur_div)</f>
        <v>-30000</v>
      </c>
      <c r="D29" s="61" t="n">
        <f aca="false">-MAX(D12*MAX(0,a_act_tacos_y1_start+(a_act_tacos_y1_end-a_act_tacos_y1_start)*(2-1)/11),a_ppc_launch_monthly_min_jpy/a_cur_div)</f>
        <v>-30000</v>
      </c>
      <c r="E29" s="61" t="n">
        <f aca="false">-MAX(E12*MAX(0,a_act_tacos_y1_start+(a_act_tacos_y1_end-a_act_tacos_y1_start)*(3-1)/11),a_ppc_launch_monthly_min_jpy/a_cur_div)</f>
        <v>-30000</v>
      </c>
      <c r="F29" s="61" t="n">
        <f aca="false">-F12*MAX(0,a_act_tacos_y1_start+(a_act_tacos_y1_end-a_act_tacos_y1_start)*(4-1)/11)</f>
        <v>-25984.8484848485</v>
      </c>
      <c r="G29" s="61" t="n">
        <f aca="false">-G12*MAX(0,a_act_tacos_y1_start+(a_act_tacos_y1_end-a_act_tacos_y1_start)*(5-1)/11)</f>
        <v>-31155.303030303</v>
      </c>
      <c r="H29" s="61" t="n">
        <f aca="false">-H12*MAX(0,a_act_tacos_y1_start+(a_act_tacos_y1_end-a_act_tacos_y1_start)*(6-1)/11)</f>
        <v>-35795.4545454545</v>
      </c>
      <c r="I29" s="61" t="n">
        <f aca="false">-I12*MAX(0,a_act_tacos_y1_start+(a_act_tacos_y1_end-a_act_tacos_y1_start)*(7-1)/11)</f>
        <v>-39905.303030303</v>
      </c>
      <c r="J29" s="61" t="n">
        <f aca="false">-J12*MAX(0,a_act_tacos_y1_start+(a_act_tacos_y1_end-a_act_tacos_y1_start)*(8-1)/11)</f>
        <v>-43484.8484848485</v>
      </c>
      <c r="K29" s="61" t="n">
        <f aca="false">-K12*MAX(0,a_act_tacos_y1_start+(a_act_tacos_y1_end-a_act_tacos_y1_start)*(9-1)/11)</f>
        <v>-46534.0909090909</v>
      </c>
      <c r="L29" s="61" t="n">
        <f aca="false">-L12*MAX(0,a_act_tacos_y1_start+(a_act_tacos_y1_end-a_act_tacos_y1_start)*(10-1)/11)</f>
        <v>-44147.7272727273</v>
      </c>
      <c r="M29" s="61" t="n">
        <f aca="false">-M12*MAX(0,a_act_tacos_y1_start+(a_act_tacos_y1_end-a_act_tacos_y1_start)*(11-1)/11)</f>
        <v>-41761.3636363636</v>
      </c>
      <c r="N29" s="61" t="n">
        <f aca="false">-N12*MAX(0,a_act_tacos_y1_start+(a_act_tacos_y1_end-a_act_tacos_y1_start)*(12-1)/11)</f>
        <v>-39375</v>
      </c>
      <c r="O29" s="61" t="n">
        <f aca="false">-O12*a_act_tacos_y2</f>
        <v>-38115</v>
      </c>
      <c r="P29" s="61" t="n">
        <f aca="false">-P12*a_act_tacos_y2</f>
        <v>-38115</v>
      </c>
      <c r="Q29" s="61" t="n">
        <f aca="false">-Q12*a_act_tacos_y2</f>
        <v>-38115</v>
      </c>
      <c r="R29" s="61" t="n">
        <f aca="false">-R12*a_act_tacos_y2</f>
        <v>-38115</v>
      </c>
      <c r="S29" s="61" t="n">
        <f aca="false">-S12*a_act_tacos_y2</f>
        <v>-38115</v>
      </c>
      <c r="T29" s="61" t="n">
        <f aca="false">-T12*a_act_tacos_y2</f>
        <v>-38115</v>
      </c>
      <c r="U29" s="61" t="n">
        <f aca="false">-U12*a_act_tacos_y2</f>
        <v>-38115</v>
      </c>
      <c r="V29" s="61" t="n">
        <f aca="false">-V12*a_act_tacos_y2</f>
        <v>-38115</v>
      </c>
      <c r="W29" s="61" t="n">
        <f aca="false">-W12*a_act_tacos_y2</f>
        <v>-38115</v>
      </c>
      <c r="X29" s="61" t="n">
        <f aca="false">-X12*a_act_tacos_y2</f>
        <v>-38115</v>
      </c>
      <c r="Y29" s="61" t="n">
        <f aca="false">-Y12*a_act_tacos_y2</f>
        <v>-38115</v>
      </c>
      <c r="Z29" s="61" t="n">
        <f aca="false">-Z12*a_act_tacos_y2</f>
        <v>-38115</v>
      </c>
      <c r="AA29" s="61" t="n">
        <f aca="false">-AA12*a_act_tacos_y3</f>
        <v>-38432.625</v>
      </c>
      <c r="AB29" s="61" t="n">
        <f aca="false">-AB12*a_act_tacos_y3</f>
        <v>-38432.625</v>
      </c>
      <c r="AC29" s="61" t="n">
        <f aca="false">-AC12*a_act_tacos_y3</f>
        <v>-38432.625</v>
      </c>
      <c r="AD29" s="61" t="n">
        <f aca="false">-AD12*a_act_tacos_y3</f>
        <v>-38432.625</v>
      </c>
      <c r="AE29" s="61" t="n">
        <f aca="false">-AE12*a_act_tacos_y3</f>
        <v>-38432.625</v>
      </c>
      <c r="AF29" s="61" t="n">
        <f aca="false">-AF12*a_act_tacos_y3</f>
        <v>-38432.625</v>
      </c>
      <c r="AG29" s="61" t="n">
        <f aca="false">-AG12*a_act_tacos_y3</f>
        <v>-38432.625</v>
      </c>
      <c r="AH29" s="61" t="n">
        <f aca="false">-AH12*a_act_tacos_y3</f>
        <v>-38432.625</v>
      </c>
      <c r="AI29" s="61" t="n">
        <f aca="false">-AI12*a_act_tacos_y3</f>
        <v>-38432.625</v>
      </c>
      <c r="AJ29" s="61" t="n">
        <f aca="false">-AJ12*a_act_tacos_y3</f>
        <v>-38432.625</v>
      </c>
      <c r="AK29" s="61" t="n">
        <f aca="false">-AK12*a_act_tacos_y3</f>
        <v>-38432.625</v>
      </c>
      <c r="AL29" s="61" t="n">
        <f aca="false">-AL12*a_act_tacos_y3</f>
        <v>-38432.625</v>
      </c>
      <c r="AM29" s="1"/>
      <c r="AN29" s="1"/>
      <c r="AO29" s="1"/>
      <c r="AP29" s="1"/>
      <c r="AQ29" s="1"/>
      <c r="AR29" s="1"/>
      <c r="AS29" s="1"/>
      <c r="AT29" s="1"/>
    </row>
    <row r="30" customFormat="false" ht="15" hidden="false" customHeight="false" outlineLevel="0" collapsed="false">
      <c r="A30" s="1"/>
      <c r="B30" s="19" t="s">
        <v>515</v>
      </c>
      <c r="C30" s="62" t="n">
        <f aca="false">-a_content_monthly_jpy/a_cur_div</f>
        <v>-20000</v>
      </c>
      <c r="D30" s="62" t="n">
        <f aca="false">-a_content_monthly_jpy/a_cur_div</f>
        <v>-20000</v>
      </c>
      <c r="E30" s="62" t="n">
        <f aca="false">-a_content_monthly_jpy/a_cur_div</f>
        <v>-20000</v>
      </c>
      <c r="F30" s="62" t="n">
        <f aca="false">-a_content_monthly_jpy/a_cur_div</f>
        <v>-20000</v>
      </c>
      <c r="G30" s="62" t="n">
        <f aca="false">-a_content_monthly_jpy/a_cur_div</f>
        <v>-20000</v>
      </c>
      <c r="H30" s="62" t="n">
        <f aca="false">-a_content_monthly_jpy/a_cur_div</f>
        <v>-20000</v>
      </c>
      <c r="I30" s="62" t="n">
        <f aca="false">-a_content_monthly_jpy/a_cur_div</f>
        <v>-20000</v>
      </c>
      <c r="J30" s="62" t="n">
        <f aca="false">-a_content_monthly_jpy/a_cur_div</f>
        <v>-20000</v>
      </c>
      <c r="K30" s="62" t="n">
        <f aca="false">-a_content_monthly_jpy/a_cur_div</f>
        <v>-20000</v>
      </c>
      <c r="L30" s="62" t="n">
        <f aca="false">-a_content_monthly_jpy/a_cur_div</f>
        <v>-20000</v>
      </c>
      <c r="M30" s="62" t="n">
        <f aca="false">-a_content_monthly_jpy/a_cur_div</f>
        <v>-20000</v>
      </c>
      <c r="N30" s="62" t="n">
        <f aca="false">-a_content_monthly_jpy/a_cur_div</f>
        <v>-20000</v>
      </c>
      <c r="O30" s="62" t="n">
        <f aca="false">-a_content_monthly_jpy/a_cur_div</f>
        <v>-20000</v>
      </c>
      <c r="P30" s="62" t="n">
        <f aca="false">-a_content_monthly_jpy/a_cur_div</f>
        <v>-20000</v>
      </c>
      <c r="Q30" s="62" t="n">
        <f aca="false">-a_content_monthly_jpy/a_cur_div</f>
        <v>-20000</v>
      </c>
      <c r="R30" s="62" t="n">
        <f aca="false">-a_content_monthly_jpy/a_cur_div</f>
        <v>-20000</v>
      </c>
      <c r="S30" s="62" t="n">
        <f aca="false">-a_content_monthly_jpy/a_cur_div</f>
        <v>-20000</v>
      </c>
      <c r="T30" s="62" t="n">
        <f aca="false">-a_content_monthly_jpy/a_cur_div</f>
        <v>-20000</v>
      </c>
      <c r="U30" s="62" t="n">
        <f aca="false">-a_content_monthly_jpy/a_cur_div</f>
        <v>-20000</v>
      </c>
      <c r="V30" s="62" t="n">
        <f aca="false">-a_content_monthly_jpy/a_cur_div</f>
        <v>-20000</v>
      </c>
      <c r="W30" s="62" t="n">
        <f aca="false">-a_content_monthly_jpy/a_cur_div</f>
        <v>-20000</v>
      </c>
      <c r="X30" s="62" t="n">
        <f aca="false">-a_content_monthly_jpy/a_cur_div</f>
        <v>-20000</v>
      </c>
      <c r="Y30" s="62" t="n">
        <f aca="false">-a_content_monthly_jpy/a_cur_div</f>
        <v>-20000</v>
      </c>
      <c r="Z30" s="62" t="n">
        <f aca="false">-a_content_monthly_jpy/a_cur_div</f>
        <v>-20000</v>
      </c>
      <c r="AA30" s="62" t="n">
        <f aca="false">-a_content_monthly_jpy/a_cur_div</f>
        <v>-20000</v>
      </c>
      <c r="AB30" s="62" t="n">
        <f aca="false">-a_content_monthly_jpy/a_cur_div</f>
        <v>-20000</v>
      </c>
      <c r="AC30" s="62" t="n">
        <f aca="false">-a_content_monthly_jpy/a_cur_div</f>
        <v>-20000</v>
      </c>
      <c r="AD30" s="62" t="n">
        <f aca="false">-a_content_monthly_jpy/a_cur_div</f>
        <v>-20000</v>
      </c>
      <c r="AE30" s="62" t="n">
        <f aca="false">-a_content_monthly_jpy/a_cur_div</f>
        <v>-20000</v>
      </c>
      <c r="AF30" s="62" t="n">
        <f aca="false">-a_content_monthly_jpy/a_cur_div</f>
        <v>-20000</v>
      </c>
      <c r="AG30" s="62" t="n">
        <f aca="false">-a_content_monthly_jpy/a_cur_div</f>
        <v>-20000</v>
      </c>
      <c r="AH30" s="62" t="n">
        <f aca="false">-a_content_monthly_jpy/a_cur_div</f>
        <v>-20000</v>
      </c>
      <c r="AI30" s="62" t="n">
        <f aca="false">-a_content_monthly_jpy/a_cur_div</f>
        <v>-20000</v>
      </c>
      <c r="AJ30" s="62" t="n">
        <f aca="false">-a_content_monthly_jpy/a_cur_div</f>
        <v>-20000</v>
      </c>
      <c r="AK30" s="62" t="n">
        <f aca="false">-a_content_monthly_jpy/a_cur_div</f>
        <v>-20000</v>
      </c>
      <c r="AL30" s="62" t="n">
        <f aca="false">-a_content_monthly_jpy/a_cur_div</f>
        <v>-20000</v>
      </c>
      <c r="AM30" s="1"/>
      <c r="AN30" s="1"/>
      <c r="AO30" s="1"/>
      <c r="AP30" s="1"/>
      <c r="AQ30" s="1"/>
      <c r="AR30" s="1"/>
      <c r="AS30" s="1"/>
      <c r="AT30" s="1"/>
    </row>
    <row r="31" customFormat="false" ht="15" hidden="false" customHeight="false" outlineLevel="0" collapsed="false">
      <c r="A31" s="1"/>
      <c r="B31" s="30" t="s">
        <v>516</v>
      </c>
      <c r="C31" s="61" t="n">
        <f aca="false">-a_influencer_monthly_jpy/a_cur_div</f>
        <v>-0</v>
      </c>
      <c r="D31" s="61" t="n">
        <f aca="false">-a_influencer_monthly_jpy/a_cur_div</f>
        <v>-0</v>
      </c>
      <c r="E31" s="61" t="n">
        <f aca="false">-a_influencer_monthly_jpy/a_cur_div</f>
        <v>-0</v>
      </c>
      <c r="F31" s="61" t="n">
        <f aca="false">-a_influencer_monthly_jpy/a_cur_div</f>
        <v>-0</v>
      </c>
      <c r="G31" s="61" t="n">
        <f aca="false">-a_influencer_monthly_jpy/a_cur_div</f>
        <v>-0</v>
      </c>
      <c r="H31" s="61" t="n">
        <f aca="false">-a_influencer_monthly_jpy/a_cur_div</f>
        <v>-0</v>
      </c>
      <c r="I31" s="61" t="n">
        <f aca="false">-a_influencer_monthly_jpy/a_cur_div</f>
        <v>-0</v>
      </c>
      <c r="J31" s="61" t="n">
        <f aca="false">-a_influencer_monthly_jpy/a_cur_div</f>
        <v>-0</v>
      </c>
      <c r="K31" s="61" t="n">
        <f aca="false">-a_influencer_monthly_jpy/a_cur_div</f>
        <v>-0</v>
      </c>
      <c r="L31" s="61" t="n">
        <f aca="false">-a_influencer_monthly_jpy/a_cur_div</f>
        <v>-0</v>
      </c>
      <c r="M31" s="61" t="n">
        <f aca="false">-a_influencer_monthly_jpy/a_cur_div</f>
        <v>-0</v>
      </c>
      <c r="N31" s="61" t="n">
        <f aca="false">-a_influencer_monthly_jpy/a_cur_div</f>
        <v>-0</v>
      </c>
      <c r="O31" s="61" t="n">
        <f aca="false">-a_influencer_monthly_jpy/a_cur_div</f>
        <v>-0</v>
      </c>
      <c r="P31" s="61" t="n">
        <f aca="false">-a_influencer_monthly_jpy/a_cur_div</f>
        <v>-0</v>
      </c>
      <c r="Q31" s="61" t="n">
        <f aca="false">-a_influencer_monthly_jpy/a_cur_div</f>
        <v>-0</v>
      </c>
      <c r="R31" s="61" t="n">
        <f aca="false">-a_influencer_monthly_jpy/a_cur_div</f>
        <v>-0</v>
      </c>
      <c r="S31" s="61" t="n">
        <f aca="false">-a_influencer_monthly_jpy/a_cur_div</f>
        <v>-0</v>
      </c>
      <c r="T31" s="61" t="n">
        <f aca="false">-a_influencer_monthly_jpy/a_cur_div</f>
        <v>-0</v>
      </c>
      <c r="U31" s="61" t="n">
        <f aca="false">-a_influencer_monthly_jpy/a_cur_div</f>
        <v>-0</v>
      </c>
      <c r="V31" s="61" t="n">
        <f aca="false">-a_influencer_monthly_jpy/a_cur_div</f>
        <v>-0</v>
      </c>
      <c r="W31" s="61" t="n">
        <f aca="false">-a_influencer_monthly_jpy/a_cur_div</f>
        <v>-0</v>
      </c>
      <c r="X31" s="61" t="n">
        <f aca="false">-a_influencer_monthly_jpy/a_cur_div</f>
        <v>-0</v>
      </c>
      <c r="Y31" s="61" t="n">
        <f aca="false">-a_influencer_monthly_jpy/a_cur_div</f>
        <v>-0</v>
      </c>
      <c r="Z31" s="61" t="n">
        <f aca="false">-a_influencer_monthly_jpy/a_cur_div</f>
        <v>-0</v>
      </c>
      <c r="AA31" s="61" t="n">
        <f aca="false">-a_influencer_monthly_jpy/a_cur_div</f>
        <v>-0</v>
      </c>
      <c r="AB31" s="61" t="n">
        <f aca="false">-a_influencer_monthly_jpy/a_cur_div</f>
        <v>-0</v>
      </c>
      <c r="AC31" s="61" t="n">
        <f aca="false">-a_influencer_monthly_jpy/a_cur_div</f>
        <v>-0</v>
      </c>
      <c r="AD31" s="61" t="n">
        <f aca="false">-a_influencer_monthly_jpy/a_cur_div</f>
        <v>-0</v>
      </c>
      <c r="AE31" s="61" t="n">
        <f aca="false">-a_influencer_monthly_jpy/a_cur_div</f>
        <v>-0</v>
      </c>
      <c r="AF31" s="61" t="n">
        <f aca="false">-a_influencer_monthly_jpy/a_cur_div</f>
        <v>-0</v>
      </c>
      <c r="AG31" s="61" t="n">
        <f aca="false">-a_influencer_monthly_jpy/a_cur_div</f>
        <v>-0</v>
      </c>
      <c r="AH31" s="61" t="n">
        <f aca="false">-a_influencer_monthly_jpy/a_cur_div</f>
        <v>-0</v>
      </c>
      <c r="AI31" s="61" t="n">
        <f aca="false">-a_influencer_monthly_jpy/a_cur_div</f>
        <v>-0</v>
      </c>
      <c r="AJ31" s="61" t="n">
        <f aca="false">-a_influencer_monthly_jpy/a_cur_div</f>
        <v>-0</v>
      </c>
      <c r="AK31" s="61" t="n">
        <f aca="false">-a_influencer_monthly_jpy/a_cur_div</f>
        <v>-0</v>
      </c>
      <c r="AL31" s="61" t="n">
        <f aca="false">-a_influencer_monthly_jpy/a_cur_div</f>
        <v>-0</v>
      </c>
      <c r="AM31" s="1"/>
      <c r="AN31" s="1"/>
      <c r="AO31" s="1"/>
      <c r="AP31" s="1"/>
      <c r="AQ31" s="1"/>
      <c r="AR31" s="1"/>
      <c r="AS31" s="1"/>
      <c r="AT31" s="1"/>
    </row>
    <row r="32" customFormat="false" ht="15" hidden="false" customHeight="false" outlineLevel="0" collapsed="false">
      <c r="A32" s="1"/>
      <c r="B32" s="19" t="s">
        <v>517</v>
      </c>
      <c r="C32" s="62" t="n">
        <f aca="false">-a_subscription_monthly_jpy/a_products_sharing_overhead/a_cur_div</f>
        <v>-4900</v>
      </c>
      <c r="D32" s="62" t="n">
        <f aca="false">-a_subscription_monthly_jpy/a_products_sharing_overhead/a_cur_div</f>
        <v>-4900</v>
      </c>
      <c r="E32" s="62" t="n">
        <f aca="false">-a_subscription_monthly_jpy/a_products_sharing_overhead/a_cur_div</f>
        <v>-4900</v>
      </c>
      <c r="F32" s="62" t="n">
        <f aca="false">-a_subscription_monthly_jpy/a_products_sharing_overhead/a_cur_div</f>
        <v>-4900</v>
      </c>
      <c r="G32" s="62" t="n">
        <f aca="false">-a_subscription_monthly_jpy/a_products_sharing_overhead/a_cur_div</f>
        <v>-4900</v>
      </c>
      <c r="H32" s="62" t="n">
        <f aca="false">-a_subscription_monthly_jpy/a_products_sharing_overhead/a_cur_div</f>
        <v>-4900</v>
      </c>
      <c r="I32" s="62" t="n">
        <f aca="false">-a_subscription_monthly_jpy/a_products_sharing_overhead/a_cur_div</f>
        <v>-4900</v>
      </c>
      <c r="J32" s="62" t="n">
        <f aca="false">-a_subscription_monthly_jpy/a_products_sharing_overhead/a_cur_div</f>
        <v>-4900</v>
      </c>
      <c r="K32" s="62" t="n">
        <f aca="false">-a_subscription_monthly_jpy/a_products_sharing_overhead/a_cur_div</f>
        <v>-4900</v>
      </c>
      <c r="L32" s="62" t="n">
        <f aca="false">-a_subscription_monthly_jpy/a_products_sharing_overhead/a_cur_div</f>
        <v>-4900</v>
      </c>
      <c r="M32" s="62" t="n">
        <f aca="false">-a_subscription_monthly_jpy/a_products_sharing_overhead/a_cur_div</f>
        <v>-4900</v>
      </c>
      <c r="N32" s="62" t="n">
        <f aca="false">-a_subscription_monthly_jpy/a_products_sharing_overhead/a_cur_div</f>
        <v>-4900</v>
      </c>
      <c r="O32" s="62" t="n">
        <f aca="false">-a_subscription_monthly_jpy/a_products_sharing_overhead/a_cur_div</f>
        <v>-4900</v>
      </c>
      <c r="P32" s="62" t="n">
        <f aca="false">-a_subscription_monthly_jpy/a_products_sharing_overhead/a_cur_div</f>
        <v>-4900</v>
      </c>
      <c r="Q32" s="62" t="n">
        <f aca="false">-a_subscription_monthly_jpy/a_products_sharing_overhead/a_cur_div</f>
        <v>-4900</v>
      </c>
      <c r="R32" s="62" t="n">
        <f aca="false">-a_subscription_monthly_jpy/a_products_sharing_overhead/a_cur_div</f>
        <v>-4900</v>
      </c>
      <c r="S32" s="62" t="n">
        <f aca="false">-a_subscription_monthly_jpy/a_products_sharing_overhead/a_cur_div</f>
        <v>-4900</v>
      </c>
      <c r="T32" s="62" t="n">
        <f aca="false">-a_subscription_monthly_jpy/a_products_sharing_overhead/a_cur_div</f>
        <v>-4900</v>
      </c>
      <c r="U32" s="62" t="n">
        <f aca="false">-a_subscription_monthly_jpy/a_products_sharing_overhead/a_cur_div</f>
        <v>-4900</v>
      </c>
      <c r="V32" s="62" t="n">
        <f aca="false">-a_subscription_monthly_jpy/a_products_sharing_overhead/a_cur_div</f>
        <v>-4900</v>
      </c>
      <c r="W32" s="62" t="n">
        <f aca="false">-a_subscription_monthly_jpy/a_products_sharing_overhead/a_cur_div</f>
        <v>-4900</v>
      </c>
      <c r="X32" s="62" t="n">
        <f aca="false">-a_subscription_monthly_jpy/a_products_sharing_overhead/a_cur_div</f>
        <v>-4900</v>
      </c>
      <c r="Y32" s="62" t="n">
        <f aca="false">-a_subscription_monthly_jpy/a_products_sharing_overhead/a_cur_div</f>
        <v>-4900</v>
      </c>
      <c r="Z32" s="62" t="n">
        <f aca="false">-a_subscription_monthly_jpy/a_products_sharing_overhead/a_cur_div</f>
        <v>-4900</v>
      </c>
      <c r="AA32" s="62" t="n">
        <f aca="false">-a_subscription_monthly_jpy/a_products_sharing_overhead/a_cur_div</f>
        <v>-4900</v>
      </c>
      <c r="AB32" s="62" t="n">
        <f aca="false">-a_subscription_monthly_jpy/a_products_sharing_overhead/a_cur_div</f>
        <v>-4900</v>
      </c>
      <c r="AC32" s="62" t="n">
        <f aca="false">-a_subscription_monthly_jpy/a_products_sharing_overhead/a_cur_div</f>
        <v>-4900</v>
      </c>
      <c r="AD32" s="62" t="n">
        <f aca="false">-a_subscription_monthly_jpy/a_products_sharing_overhead/a_cur_div</f>
        <v>-4900</v>
      </c>
      <c r="AE32" s="62" t="n">
        <f aca="false">-a_subscription_monthly_jpy/a_products_sharing_overhead/a_cur_div</f>
        <v>-4900</v>
      </c>
      <c r="AF32" s="62" t="n">
        <f aca="false">-a_subscription_monthly_jpy/a_products_sharing_overhead/a_cur_div</f>
        <v>-4900</v>
      </c>
      <c r="AG32" s="62" t="n">
        <f aca="false">-a_subscription_monthly_jpy/a_products_sharing_overhead/a_cur_div</f>
        <v>-4900</v>
      </c>
      <c r="AH32" s="62" t="n">
        <f aca="false">-a_subscription_monthly_jpy/a_products_sharing_overhead/a_cur_div</f>
        <v>-4900</v>
      </c>
      <c r="AI32" s="62" t="n">
        <f aca="false">-a_subscription_monthly_jpy/a_products_sharing_overhead/a_cur_div</f>
        <v>-4900</v>
      </c>
      <c r="AJ32" s="62" t="n">
        <f aca="false">-a_subscription_monthly_jpy/a_products_sharing_overhead/a_cur_div</f>
        <v>-4900</v>
      </c>
      <c r="AK32" s="62" t="n">
        <f aca="false">-a_subscription_monthly_jpy/a_products_sharing_overhead/a_cur_div</f>
        <v>-4900</v>
      </c>
      <c r="AL32" s="62" t="n">
        <f aca="false">-a_subscription_monthly_jpy/a_products_sharing_overhead/a_cur_div</f>
        <v>-4900</v>
      </c>
      <c r="AM32" s="1"/>
      <c r="AN32" s="1"/>
      <c r="AO32" s="1"/>
      <c r="AP32" s="1"/>
      <c r="AQ32" s="1"/>
      <c r="AR32" s="1"/>
      <c r="AS32" s="1"/>
      <c r="AT32" s="1"/>
    </row>
    <row r="33" customFormat="false" ht="15" hidden="false" customHeight="false" outlineLevel="0" collapsed="false">
      <c r="A33" s="1"/>
      <c r="B33" s="30" t="s">
        <v>518</v>
      </c>
      <c r="C33" s="61" t="n">
        <f aca="false">-a_insurance_monthly_jpy/a_cur_div</f>
        <v>-3000</v>
      </c>
      <c r="D33" s="61" t="n">
        <f aca="false">-a_insurance_monthly_jpy/a_cur_div</f>
        <v>-3000</v>
      </c>
      <c r="E33" s="61" t="n">
        <f aca="false">-a_insurance_monthly_jpy/a_cur_div</f>
        <v>-3000</v>
      </c>
      <c r="F33" s="61" t="n">
        <f aca="false">-a_insurance_monthly_jpy/a_cur_div</f>
        <v>-3000</v>
      </c>
      <c r="G33" s="61" t="n">
        <f aca="false">-a_insurance_monthly_jpy/a_cur_div</f>
        <v>-3000</v>
      </c>
      <c r="H33" s="61" t="n">
        <f aca="false">-a_insurance_monthly_jpy/a_cur_div</f>
        <v>-3000</v>
      </c>
      <c r="I33" s="61" t="n">
        <f aca="false">-a_insurance_monthly_jpy/a_cur_div</f>
        <v>-3000</v>
      </c>
      <c r="J33" s="61" t="n">
        <f aca="false">-a_insurance_monthly_jpy/a_cur_div</f>
        <v>-3000</v>
      </c>
      <c r="K33" s="61" t="n">
        <f aca="false">-a_insurance_monthly_jpy/a_cur_div</f>
        <v>-3000</v>
      </c>
      <c r="L33" s="61" t="n">
        <f aca="false">-a_insurance_monthly_jpy/a_cur_div</f>
        <v>-3000</v>
      </c>
      <c r="M33" s="61" t="n">
        <f aca="false">-a_insurance_monthly_jpy/a_cur_div</f>
        <v>-3000</v>
      </c>
      <c r="N33" s="61" t="n">
        <f aca="false">-a_insurance_monthly_jpy/a_cur_div</f>
        <v>-3000</v>
      </c>
      <c r="O33" s="61" t="n">
        <f aca="false">-a_insurance_monthly_jpy/a_cur_div</f>
        <v>-3000</v>
      </c>
      <c r="P33" s="61" t="n">
        <f aca="false">-a_insurance_monthly_jpy/a_cur_div</f>
        <v>-3000</v>
      </c>
      <c r="Q33" s="61" t="n">
        <f aca="false">-a_insurance_monthly_jpy/a_cur_div</f>
        <v>-3000</v>
      </c>
      <c r="R33" s="61" t="n">
        <f aca="false">-a_insurance_monthly_jpy/a_cur_div</f>
        <v>-3000</v>
      </c>
      <c r="S33" s="61" t="n">
        <f aca="false">-a_insurance_monthly_jpy/a_cur_div</f>
        <v>-3000</v>
      </c>
      <c r="T33" s="61" t="n">
        <f aca="false">-a_insurance_monthly_jpy/a_cur_div</f>
        <v>-3000</v>
      </c>
      <c r="U33" s="61" t="n">
        <f aca="false">-a_insurance_monthly_jpy/a_cur_div</f>
        <v>-3000</v>
      </c>
      <c r="V33" s="61" t="n">
        <f aca="false">-a_insurance_monthly_jpy/a_cur_div</f>
        <v>-3000</v>
      </c>
      <c r="W33" s="61" t="n">
        <f aca="false">-a_insurance_monthly_jpy/a_cur_div</f>
        <v>-3000</v>
      </c>
      <c r="X33" s="61" t="n">
        <f aca="false">-a_insurance_monthly_jpy/a_cur_div</f>
        <v>-3000</v>
      </c>
      <c r="Y33" s="61" t="n">
        <f aca="false">-a_insurance_monthly_jpy/a_cur_div</f>
        <v>-3000</v>
      </c>
      <c r="Z33" s="61" t="n">
        <f aca="false">-a_insurance_monthly_jpy/a_cur_div</f>
        <v>-3000</v>
      </c>
      <c r="AA33" s="61" t="n">
        <f aca="false">-a_insurance_monthly_jpy/a_cur_div</f>
        <v>-3000</v>
      </c>
      <c r="AB33" s="61" t="n">
        <f aca="false">-a_insurance_monthly_jpy/a_cur_div</f>
        <v>-3000</v>
      </c>
      <c r="AC33" s="61" t="n">
        <f aca="false">-a_insurance_monthly_jpy/a_cur_div</f>
        <v>-3000</v>
      </c>
      <c r="AD33" s="61" t="n">
        <f aca="false">-a_insurance_monthly_jpy/a_cur_div</f>
        <v>-3000</v>
      </c>
      <c r="AE33" s="61" t="n">
        <f aca="false">-a_insurance_monthly_jpy/a_cur_div</f>
        <v>-3000</v>
      </c>
      <c r="AF33" s="61" t="n">
        <f aca="false">-a_insurance_monthly_jpy/a_cur_div</f>
        <v>-3000</v>
      </c>
      <c r="AG33" s="61" t="n">
        <f aca="false">-a_insurance_monthly_jpy/a_cur_div</f>
        <v>-3000</v>
      </c>
      <c r="AH33" s="61" t="n">
        <f aca="false">-a_insurance_monthly_jpy/a_cur_div</f>
        <v>-3000</v>
      </c>
      <c r="AI33" s="61" t="n">
        <f aca="false">-a_insurance_monthly_jpy/a_cur_div</f>
        <v>-3000</v>
      </c>
      <c r="AJ33" s="61" t="n">
        <f aca="false">-a_insurance_monthly_jpy/a_cur_div</f>
        <v>-3000</v>
      </c>
      <c r="AK33" s="61" t="n">
        <f aca="false">-a_insurance_monthly_jpy/a_cur_div</f>
        <v>-3000</v>
      </c>
      <c r="AL33" s="61" t="n">
        <f aca="false">-a_insurance_monthly_jpy/a_cur_div</f>
        <v>-3000</v>
      </c>
      <c r="AM33" s="1"/>
      <c r="AN33" s="1"/>
      <c r="AO33" s="1"/>
      <c r="AP33" s="1"/>
      <c r="AQ33" s="1"/>
      <c r="AR33" s="1"/>
      <c r="AS33" s="1"/>
      <c r="AT33" s="1"/>
    </row>
    <row r="34" customFormat="false" ht="15" hidden="false" customHeight="false" outlineLevel="0" collapsed="false">
      <c r="A34" s="1"/>
      <c r="B34" s="19" t="s">
        <v>519</v>
      </c>
      <c r="C34" s="62" t="n">
        <f aca="false">-IF(1&lt;a_mgmt_fee_start_month,0,a_mgmt_fee_fixed_jpy*(1+a_mgmt_fee_escalation_pct)^0/a_cur_div)/a_products_sharing_overhead</f>
        <v>-70000</v>
      </c>
      <c r="D34" s="62" t="n">
        <f aca="false">-IF(2&lt;a_mgmt_fee_start_month,0,a_mgmt_fee_fixed_jpy*(1+a_mgmt_fee_escalation_pct)^0/a_cur_div)/a_products_sharing_overhead</f>
        <v>-70000</v>
      </c>
      <c r="E34" s="62" t="n">
        <f aca="false">-IF(3&lt;a_mgmt_fee_start_month,0,a_mgmt_fee_fixed_jpy*(1+a_mgmt_fee_escalation_pct)^0/a_cur_div)/a_products_sharing_overhead</f>
        <v>-70000</v>
      </c>
      <c r="F34" s="62" t="n">
        <f aca="false">-IF(4&lt;a_mgmt_fee_start_month,0,a_mgmt_fee_fixed_jpy*(1+a_mgmt_fee_escalation_pct)^0/a_cur_div)/a_products_sharing_overhead</f>
        <v>-70000</v>
      </c>
      <c r="G34" s="62" t="n">
        <f aca="false">-IF(5&lt;a_mgmt_fee_start_month,0,a_mgmt_fee_fixed_jpy*(1+a_mgmt_fee_escalation_pct)^0/a_cur_div)/a_products_sharing_overhead</f>
        <v>-70000</v>
      </c>
      <c r="H34" s="62" t="n">
        <f aca="false">-IF(6&lt;a_mgmt_fee_start_month,0,a_mgmt_fee_fixed_jpy*(1+a_mgmt_fee_escalation_pct)^0/a_cur_div)/a_products_sharing_overhead</f>
        <v>-70000</v>
      </c>
      <c r="I34" s="62" t="n">
        <f aca="false">-IF(7&lt;a_mgmt_fee_start_month,0,a_mgmt_fee_fixed_jpy*(1+a_mgmt_fee_escalation_pct)^0/a_cur_div)/a_products_sharing_overhead</f>
        <v>-70000</v>
      </c>
      <c r="J34" s="62" t="n">
        <f aca="false">-IF(8&lt;a_mgmt_fee_start_month,0,a_mgmt_fee_fixed_jpy*(1+a_mgmt_fee_escalation_pct)^0/a_cur_div)/a_products_sharing_overhead</f>
        <v>-70000</v>
      </c>
      <c r="K34" s="62" t="n">
        <f aca="false">-IF(9&lt;a_mgmt_fee_start_month,0,a_mgmt_fee_fixed_jpy*(1+a_mgmt_fee_escalation_pct)^0/a_cur_div)/a_products_sharing_overhead</f>
        <v>-70000</v>
      </c>
      <c r="L34" s="62" t="n">
        <f aca="false">-IF(10&lt;a_mgmt_fee_start_month,0,a_mgmt_fee_fixed_jpy*(1+a_mgmt_fee_escalation_pct)^0/a_cur_div)/a_products_sharing_overhead</f>
        <v>-70000</v>
      </c>
      <c r="M34" s="62" t="n">
        <f aca="false">-IF(11&lt;a_mgmt_fee_start_month,0,a_mgmt_fee_fixed_jpy*(1+a_mgmt_fee_escalation_pct)^0/a_cur_div)/a_products_sharing_overhead</f>
        <v>-70000</v>
      </c>
      <c r="N34" s="62" t="n">
        <f aca="false">-IF(12&lt;a_mgmt_fee_start_month,0,a_mgmt_fee_fixed_jpy*(1+a_mgmt_fee_escalation_pct)^0/a_cur_div)/a_products_sharing_overhead</f>
        <v>-70000</v>
      </c>
      <c r="O34" s="62" t="n">
        <f aca="false">-IF(13&lt;a_mgmt_fee_start_month,0,a_mgmt_fee_fixed_jpy*(1+a_mgmt_fee_escalation_pct)^1/a_cur_div)/a_products_sharing_overhead</f>
        <v>-70000</v>
      </c>
      <c r="P34" s="62" t="n">
        <f aca="false">-IF(14&lt;a_mgmt_fee_start_month,0,a_mgmt_fee_fixed_jpy*(1+a_mgmt_fee_escalation_pct)^1/a_cur_div)/a_products_sharing_overhead</f>
        <v>-70000</v>
      </c>
      <c r="Q34" s="62" t="n">
        <f aca="false">-IF(15&lt;a_mgmt_fee_start_month,0,a_mgmt_fee_fixed_jpy*(1+a_mgmt_fee_escalation_pct)^1/a_cur_div)/a_products_sharing_overhead</f>
        <v>-70000</v>
      </c>
      <c r="R34" s="62" t="n">
        <f aca="false">-IF(16&lt;a_mgmt_fee_start_month,0,a_mgmt_fee_fixed_jpy*(1+a_mgmt_fee_escalation_pct)^1/a_cur_div)/a_products_sharing_overhead</f>
        <v>-70000</v>
      </c>
      <c r="S34" s="62" t="n">
        <f aca="false">-IF(17&lt;a_mgmt_fee_start_month,0,a_mgmt_fee_fixed_jpy*(1+a_mgmt_fee_escalation_pct)^1/a_cur_div)/a_products_sharing_overhead</f>
        <v>-70000</v>
      </c>
      <c r="T34" s="62" t="n">
        <f aca="false">-IF(18&lt;a_mgmt_fee_start_month,0,a_mgmt_fee_fixed_jpy*(1+a_mgmt_fee_escalation_pct)^1/a_cur_div)/a_products_sharing_overhead</f>
        <v>-70000</v>
      </c>
      <c r="U34" s="62" t="n">
        <f aca="false">-IF(19&lt;a_mgmt_fee_start_month,0,a_mgmt_fee_fixed_jpy*(1+a_mgmt_fee_escalation_pct)^1/a_cur_div)/a_products_sharing_overhead</f>
        <v>-70000</v>
      </c>
      <c r="V34" s="62" t="n">
        <f aca="false">-IF(20&lt;a_mgmt_fee_start_month,0,a_mgmt_fee_fixed_jpy*(1+a_mgmt_fee_escalation_pct)^1/a_cur_div)/a_products_sharing_overhead</f>
        <v>-70000</v>
      </c>
      <c r="W34" s="62" t="n">
        <f aca="false">-IF(21&lt;a_mgmt_fee_start_month,0,a_mgmt_fee_fixed_jpy*(1+a_mgmt_fee_escalation_pct)^1/a_cur_div)/a_products_sharing_overhead</f>
        <v>-70000</v>
      </c>
      <c r="X34" s="62" t="n">
        <f aca="false">-IF(22&lt;a_mgmt_fee_start_month,0,a_mgmt_fee_fixed_jpy*(1+a_mgmt_fee_escalation_pct)^1/a_cur_div)/a_products_sharing_overhead</f>
        <v>-70000</v>
      </c>
      <c r="Y34" s="62" t="n">
        <f aca="false">-IF(23&lt;a_mgmt_fee_start_month,0,a_mgmt_fee_fixed_jpy*(1+a_mgmt_fee_escalation_pct)^1/a_cur_div)/a_products_sharing_overhead</f>
        <v>-70000</v>
      </c>
      <c r="Z34" s="62" t="n">
        <f aca="false">-IF(24&lt;a_mgmt_fee_start_month,0,a_mgmt_fee_fixed_jpy*(1+a_mgmt_fee_escalation_pct)^1/a_cur_div)/a_products_sharing_overhead</f>
        <v>-70000</v>
      </c>
      <c r="AA34" s="62" t="n">
        <f aca="false">-IF(25&lt;a_mgmt_fee_start_month,0,a_mgmt_fee_fixed_jpy*(1+a_mgmt_fee_escalation_pct)^2/a_cur_div)/a_products_sharing_overhead</f>
        <v>-70000</v>
      </c>
      <c r="AB34" s="62" t="n">
        <f aca="false">-IF(26&lt;a_mgmt_fee_start_month,0,a_mgmt_fee_fixed_jpy*(1+a_mgmt_fee_escalation_pct)^2/a_cur_div)/a_products_sharing_overhead</f>
        <v>-70000</v>
      </c>
      <c r="AC34" s="62" t="n">
        <f aca="false">-IF(27&lt;a_mgmt_fee_start_month,0,a_mgmt_fee_fixed_jpy*(1+a_mgmt_fee_escalation_pct)^2/a_cur_div)/a_products_sharing_overhead</f>
        <v>-70000</v>
      </c>
      <c r="AD34" s="62" t="n">
        <f aca="false">-IF(28&lt;a_mgmt_fee_start_month,0,a_mgmt_fee_fixed_jpy*(1+a_mgmt_fee_escalation_pct)^2/a_cur_div)/a_products_sharing_overhead</f>
        <v>-70000</v>
      </c>
      <c r="AE34" s="62" t="n">
        <f aca="false">-IF(29&lt;a_mgmt_fee_start_month,0,a_mgmt_fee_fixed_jpy*(1+a_mgmt_fee_escalation_pct)^2/a_cur_div)/a_products_sharing_overhead</f>
        <v>-70000</v>
      </c>
      <c r="AF34" s="62" t="n">
        <f aca="false">-IF(30&lt;a_mgmt_fee_start_month,0,a_mgmt_fee_fixed_jpy*(1+a_mgmt_fee_escalation_pct)^2/a_cur_div)/a_products_sharing_overhead</f>
        <v>-70000</v>
      </c>
      <c r="AG34" s="62" t="n">
        <f aca="false">-IF(31&lt;a_mgmt_fee_start_month,0,a_mgmt_fee_fixed_jpy*(1+a_mgmt_fee_escalation_pct)^2/a_cur_div)/a_products_sharing_overhead</f>
        <v>-70000</v>
      </c>
      <c r="AH34" s="62" t="n">
        <f aca="false">-IF(32&lt;a_mgmt_fee_start_month,0,a_mgmt_fee_fixed_jpy*(1+a_mgmt_fee_escalation_pct)^2/a_cur_div)/a_products_sharing_overhead</f>
        <v>-70000</v>
      </c>
      <c r="AI34" s="62" t="n">
        <f aca="false">-IF(33&lt;a_mgmt_fee_start_month,0,a_mgmt_fee_fixed_jpy*(1+a_mgmt_fee_escalation_pct)^2/a_cur_div)/a_products_sharing_overhead</f>
        <v>-70000</v>
      </c>
      <c r="AJ34" s="62" t="n">
        <f aca="false">-IF(34&lt;a_mgmt_fee_start_month,0,a_mgmt_fee_fixed_jpy*(1+a_mgmt_fee_escalation_pct)^2/a_cur_div)/a_products_sharing_overhead</f>
        <v>-70000</v>
      </c>
      <c r="AK34" s="62" t="n">
        <f aca="false">-IF(35&lt;a_mgmt_fee_start_month,0,a_mgmt_fee_fixed_jpy*(1+a_mgmt_fee_escalation_pct)^2/a_cur_div)/a_products_sharing_overhead</f>
        <v>-70000</v>
      </c>
      <c r="AL34" s="62" t="n">
        <f aca="false">-IF(36&lt;a_mgmt_fee_start_month,0,a_mgmt_fee_fixed_jpy*(1+a_mgmt_fee_escalation_pct)^2/a_cur_div)/a_products_sharing_overhead</f>
        <v>-70000</v>
      </c>
      <c r="AM34" s="1"/>
      <c r="AN34" s="1"/>
      <c r="AO34" s="1"/>
      <c r="AP34" s="1"/>
      <c r="AQ34" s="1"/>
      <c r="AR34" s="1"/>
      <c r="AS34" s="1"/>
      <c r="AT34" s="1"/>
    </row>
    <row r="35" customFormat="false" ht="15" hidden="false" customHeight="false" outlineLevel="0" collapsed="false">
      <c r="A35" s="1"/>
      <c r="B35" s="65" t="s">
        <v>520</v>
      </c>
      <c r="C35" s="66" t="n">
        <f aca="false">C28+C29+C30+C31+C32+C33+C34</f>
        <v>-124663.712545455</v>
      </c>
      <c r="D35" s="66" t="n">
        <f aca="false">D28+D29+D30+D31+D32+D33+D34</f>
        <v>-121120.921090909</v>
      </c>
      <c r="E35" s="66" t="n">
        <f aca="false">E28+E29+E30+E31+E32+E33+E34</f>
        <v>-117669.362636364</v>
      </c>
      <c r="F35" s="66" t="n">
        <f aca="false">F28+F29+F30+F31+F32+F33+F34</f>
        <v>-103227.492666667</v>
      </c>
      <c r="G35" s="66" t="n">
        <f aca="false">G28+G29+G30+G31+G32+G33+G34</f>
        <v>-103221.228757576</v>
      </c>
      <c r="H35" s="66" t="n">
        <f aca="false">H28+H29+H30+H31+H32+H33+H34</f>
        <v>-102468.121818182</v>
      </c>
      <c r="I35" s="66" t="n">
        <f aca="false">I28+I29+I30+I31+I32+I33+I34</f>
        <v>-101368.770848485</v>
      </c>
      <c r="J35" s="66" t="n">
        <f aca="false">J28+J29+J30+J31+J32+J33+J34</f>
        <v>-99739.1168484849</v>
      </c>
      <c r="K35" s="66" t="n">
        <f aca="false">K28+K29+K30+K31+K32+K33+K34</f>
        <v>-97551.2958181818</v>
      </c>
      <c r="L35" s="66" t="n">
        <f aca="false">L28+L29+L30+L31+L32+L33+L34</f>
        <v>-95164.9321818182</v>
      </c>
      <c r="M35" s="66" t="n">
        <f aca="false">M28+M29+M30+M31+M32+M33+M34</f>
        <v>-92778.5685454545</v>
      </c>
      <c r="N35" s="66" t="n">
        <f aca="false">N28+N29+N30+N31+N32+N33+N34</f>
        <v>-90444.8678690909</v>
      </c>
      <c r="O35" s="66" t="n">
        <f aca="false">O28+O29+O30+O31+O32+O33+O34</f>
        <v>-79286.81794</v>
      </c>
      <c r="P35" s="66" t="n">
        <f aca="false">P28+P29+P30+P31+P32+P33+P34</f>
        <v>-79286.81794</v>
      </c>
      <c r="Q35" s="66" t="n">
        <f aca="false">Q28+Q29+Q30+Q31+Q32+Q33+Q34</f>
        <v>-79640.53603</v>
      </c>
      <c r="R35" s="66" t="n">
        <f aca="false">R28+R29+R30+R31+R32+R33+R34</f>
        <v>-79640.53603</v>
      </c>
      <c r="S35" s="66" t="n">
        <f aca="false">S28+S29+S30+S31+S32+S33+S34</f>
        <v>-79640.53603</v>
      </c>
      <c r="T35" s="66" t="n">
        <f aca="false">T28+T29+T30+T31+T32+T33+T34</f>
        <v>-79286.81794</v>
      </c>
      <c r="U35" s="66" t="n">
        <f aca="false">U28+U29+U30+U31+U32+U33+U34</f>
        <v>-79286.81794</v>
      </c>
      <c r="V35" s="66" t="n">
        <f aca="false">V28+V29+V30+V31+V32+V33+V34</f>
        <v>-79286.81794</v>
      </c>
      <c r="W35" s="66" t="n">
        <f aca="false">W28+W29+W30+W31+W32+W33+W34</f>
        <v>-79286.81794</v>
      </c>
      <c r="X35" s="66" t="n">
        <f aca="false">X28+X29+X30+X31+X32+X33+X34</f>
        <v>-79286.81794</v>
      </c>
      <c r="Y35" s="66" t="n">
        <f aca="false">Y28+Y29+Y30+Y31+Y32+Y33+Y34</f>
        <v>-79286.81794</v>
      </c>
      <c r="Z35" s="66" t="n">
        <f aca="false">Z28+Z29+Z30+Z31+Z32+Z33+Z34</f>
        <v>-79350.5401216</v>
      </c>
      <c r="AA35" s="66" t="n">
        <f aca="false">AA28+AA29+AA30+AA31+AA32+AA33+AA34</f>
        <v>-67691.5247074001</v>
      </c>
      <c r="AB35" s="66" t="n">
        <f aca="false">AB28+AB29+AB30+AB31+AB32+AB33+AB34</f>
        <v>-67691.5247074001</v>
      </c>
      <c r="AC35" s="66" t="n">
        <f aca="false">AC28+AC29+AC30+AC31+AC32+AC33+AC34</f>
        <v>-68119.5235963001</v>
      </c>
      <c r="AD35" s="66" t="n">
        <f aca="false">AD28+AD29+AD30+AD31+AD32+AD33+AD34</f>
        <v>-68119.5235963001</v>
      </c>
      <c r="AE35" s="66" t="n">
        <f aca="false">AE28+AE29+AE30+AE31+AE32+AE33+AE34</f>
        <v>-68119.5235963001</v>
      </c>
      <c r="AF35" s="66" t="n">
        <f aca="false">AF28+AF29+AF30+AF31+AF32+AF33+AF34</f>
        <v>-67691.5247074001</v>
      </c>
      <c r="AG35" s="66" t="n">
        <f aca="false">AG28+AG29+AG30+AG31+AG32+AG33+AG34</f>
        <v>-67691.5247074001</v>
      </c>
      <c r="AH35" s="66" t="n">
        <f aca="false">AH28+AH29+AH30+AH31+AH32+AH33+AH34</f>
        <v>-67691.5247074001</v>
      </c>
      <c r="AI35" s="66" t="n">
        <f aca="false">AI28+AI29+AI30+AI31+AI32+AI33+AI34</f>
        <v>-67691.5247074001</v>
      </c>
      <c r="AJ35" s="66" t="n">
        <f aca="false">AJ28+AJ29+AJ30+AJ31+AJ32+AJ33+AJ34</f>
        <v>-67691.5247074001</v>
      </c>
      <c r="AK35" s="66" t="n">
        <f aca="false">AK28+AK29+AK30+AK31+AK32+AK33+AK34</f>
        <v>-67691.5247074001</v>
      </c>
      <c r="AL35" s="66" t="n">
        <f aca="false">AL28+AL29+AL30+AL31+AL32+AL33+AL34</f>
        <v>-67324.3635658</v>
      </c>
      <c r="AM35" s="1"/>
      <c r="AN35" s="1"/>
      <c r="AO35" s="1"/>
      <c r="AP35" s="1"/>
      <c r="AQ35" s="1"/>
      <c r="AR35" s="1"/>
      <c r="AS35" s="1"/>
      <c r="AT35" s="1"/>
    </row>
    <row r="36" customFormat="false" ht="15" hidden="false" customHeight="false" outlineLevel="0" collapsed="false">
      <c r="A36" s="1"/>
      <c r="B36" s="19" t="s">
        <v>521</v>
      </c>
      <c r="C36" s="67" t="n">
        <f aca="false">IF(C17=0,0,C35/C17)</f>
        <v>-5.34880872940029</v>
      </c>
      <c r="D36" s="67" t="n">
        <f aca="false">IF(D17=0,0,D35/D17)</f>
        <v>-2.59840103754266</v>
      </c>
      <c r="E36" s="67" t="n">
        <f aca="false">IF(E17=0,0,E35/E17)</f>
        <v>-1.68290328490167</v>
      </c>
      <c r="F36" s="67" t="n">
        <f aca="false">IF(F17=0,0,F35/F17)</f>
        <v>-1.02993416719577</v>
      </c>
      <c r="G36" s="67" t="n">
        <f aca="false">IF(G17=0,0,G35/G17)</f>
        <v>-0.823897336114891</v>
      </c>
      <c r="H36" s="67" t="n">
        <f aca="false">IF(H17=0,0,H35/H17)</f>
        <v>-0.681571785336357</v>
      </c>
      <c r="I36" s="67" t="n">
        <f aca="false">IF(I17=0,0,I35/I17)</f>
        <v>-0.577936626800562</v>
      </c>
      <c r="J36" s="67" t="n">
        <f aca="false">IF(J17=0,0,J35/J17)</f>
        <v>-0.497564755253212</v>
      </c>
      <c r="K36" s="67" t="n">
        <f aca="false">IF(K17=0,0,K35/K17)</f>
        <v>-0.432578182514487</v>
      </c>
      <c r="L36" s="67" t="n">
        <f aca="false">IF(L17=0,0,L35/L17)</f>
        <v>-0.421996171932477</v>
      </c>
      <c r="M36" s="67" t="n">
        <f aca="false">IF(M17=0,0,M35/M17)</f>
        <v>-0.411414161350466</v>
      </c>
      <c r="N36" s="67" t="n">
        <f aca="false">IF(N17=0,0,N35/N17)</f>
        <v>-0.401065677625598</v>
      </c>
      <c r="O36" s="67" t="n">
        <f aca="false">IF(O17=0,0,O35/O17)</f>
        <v>-0.290567600503905</v>
      </c>
      <c r="P36" s="67" t="n">
        <f aca="false">IF(P17=0,0,P35/P17)</f>
        <v>-0.290567600503905</v>
      </c>
      <c r="Q36" s="67" t="n">
        <f aca="false">IF(Q17=0,0,Q35/Q17)</f>
        <v>-0.291863894381456</v>
      </c>
      <c r="R36" s="67" t="n">
        <f aca="false">IF(R17=0,0,R35/R17)</f>
        <v>-0.291863894381456</v>
      </c>
      <c r="S36" s="67" t="n">
        <f aca="false">IF(S17=0,0,S35/S17)</f>
        <v>-0.291863894381456</v>
      </c>
      <c r="T36" s="67" t="n">
        <f aca="false">IF(T17=0,0,T35/T17)</f>
        <v>-0.290567600503905</v>
      </c>
      <c r="U36" s="67" t="n">
        <f aca="false">IF(U17=0,0,U35/U17)</f>
        <v>-0.290567600503905</v>
      </c>
      <c r="V36" s="67" t="n">
        <f aca="false">IF(V17=0,0,V35/V17)</f>
        <v>-0.290567600503905</v>
      </c>
      <c r="W36" s="67" t="n">
        <f aca="false">IF(W17=0,0,W35/W17)</f>
        <v>-0.290567600503905</v>
      </c>
      <c r="X36" s="67" t="n">
        <f aca="false">IF(X17=0,0,X35/X17)</f>
        <v>-0.290567600503905</v>
      </c>
      <c r="Y36" s="67" t="n">
        <f aca="false">IF(Y17=0,0,Y35/Y17)</f>
        <v>-0.290567600503905</v>
      </c>
      <c r="Z36" s="67" t="n">
        <f aca="false">IF(Z17=0,0,Z35/Z17)</f>
        <v>-0.290801127361048</v>
      </c>
      <c r="AA36" s="67" t="n">
        <f aca="false">IF(AA17=0,0,AA35/AA17)</f>
        <v>-0.205019478592147</v>
      </c>
      <c r="AB36" s="67" t="n">
        <f aca="false">IF(AB17=0,0,AB35/AB17)</f>
        <v>-0.205019478592147</v>
      </c>
      <c r="AC36" s="67" t="n">
        <f aca="false">IF(AC17=0,0,AC35/AC17)</f>
        <v>-0.206315772469698</v>
      </c>
      <c r="AD36" s="67" t="n">
        <f aca="false">IF(AD17=0,0,AD35/AD17)</f>
        <v>-0.206315772469698</v>
      </c>
      <c r="AE36" s="67" t="n">
        <f aca="false">IF(AE17=0,0,AE35/AE17)</f>
        <v>-0.206315772469698</v>
      </c>
      <c r="AF36" s="67" t="n">
        <f aca="false">IF(AF17=0,0,AF35/AF17)</f>
        <v>-0.205019478592147</v>
      </c>
      <c r="AG36" s="67" t="n">
        <f aca="false">IF(AG17=0,0,AG35/AG17)</f>
        <v>-0.205019478592147</v>
      </c>
      <c r="AH36" s="67" t="n">
        <f aca="false">IF(AH17=0,0,AH35/AH17)</f>
        <v>-0.205019478592147</v>
      </c>
      <c r="AI36" s="67" t="n">
        <f aca="false">IF(AI17=0,0,AI35/AI17)</f>
        <v>-0.205019478592147</v>
      </c>
      <c r="AJ36" s="67" t="n">
        <f aca="false">IF(AJ17=0,0,AJ35/AJ17)</f>
        <v>-0.205019478592147</v>
      </c>
      <c r="AK36" s="67" t="n">
        <f aca="false">IF(AK17=0,0,AK35/AK17)</f>
        <v>-0.205019478592147</v>
      </c>
      <c r="AL36" s="67" t="n">
        <f aca="false">IF(AL17=0,0,AL35/AL17)</f>
        <v>-0.203907445939086</v>
      </c>
      <c r="AM36" s="1"/>
      <c r="AN36" s="1"/>
      <c r="AO36" s="1"/>
      <c r="AP36" s="1"/>
      <c r="AQ36" s="1"/>
      <c r="AR36" s="1"/>
      <c r="AS36" s="1"/>
      <c r="AT36" s="1"/>
    </row>
    <row r="37" customFormat="false" ht="15" hidden="false" customHeight="false" outlineLevel="0" collapsed="false">
      <c r="A37" s="1"/>
      <c r="B37" s="27" t="s">
        <v>522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customFormat="false" ht="15" hidden="false" customHeight="false" outlineLevel="0" collapsed="false">
      <c r="A38" s="1"/>
      <c r="B38" s="19" t="s">
        <v>523</v>
      </c>
      <c r="C38" s="68" t="n">
        <f aca="false">IF(C29=0,0,-C12/C29)</f>
        <v>0.972222222222222</v>
      </c>
      <c r="D38" s="68" t="n">
        <f aca="false">IF(D29=0,0,-D12/D29)</f>
        <v>1.94444444444444</v>
      </c>
      <c r="E38" s="68" t="n">
        <f aca="false">IF(E29=0,0,-E12/E29)</f>
        <v>2.91666666666667</v>
      </c>
      <c r="F38" s="68" t="n">
        <f aca="false">IF(F29=0,0,-F12/F29)</f>
        <v>4.48979591836735</v>
      </c>
      <c r="G38" s="68" t="n">
        <f aca="false">IF(G29=0,0,-G12/G29)</f>
        <v>4.68085106382979</v>
      </c>
      <c r="H38" s="68" t="n">
        <f aca="false">IF(H29=0,0,-H12/H29)</f>
        <v>4.88888888888889</v>
      </c>
      <c r="I38" s="68" t="n">
        <f aca="false">IF(I29=0,0,-I12/I29)</f>
        <v>5.11627906976744</v>
      </c>
      <c r="J38" s="68" t="n">
        <f aca="false">IF(J29=0,0,-J12/J29)</f>
        <v>5.36585365853659</v>
      </c>
      <c r="K38" s="68" t="n">
        <f aca="false">IF(K29=0,0,-K12/K29)</f>
        <v>5.64102564102564</v>
      </c>
      <c r="L38" s="68" t="n">
        <f aca="false">IF(L29=0,0,-L12/L29)</f>
        <v>5.94594594594595</v>
      </c>
      <c r="M38" s="68" t="n">
        <f aca="false">IF(M29=0,0,-M12/M29)</f>
        <v>6.28571428571429</v>
      </c>
      <c r="N38" s="68" t="n">
        <f aca="false">IF(N29=0,0,-N12/N29)</f>
        <v>6.66666666666667</v>
      </c>
      <c r="O38" s="68" t="n">
        <f aca="false">IF(O29=0,0,-O12/O29)</f>
        <v>8.33333333333333</v>
      </c>
      <c r="P38" s="68" t="n">
        <f aca="false">IF(P29=0,0,-P12/P29)</f>
        <v>8.33333333333333</v>
      </c>
      <c r="Q38" s="68" t="n">
        <f aca="false">IF(Q29=0,0,-Q12/Q29)</f>
        <v>8.33333333333333</v>
      </c>
      <c r="R38" s="68" t="n">
        <f aca="false">IF(R29=0,0,-R12/R29)</f>
        <v>8.33333333333333</v>
      </c>
      <c r="S38" s="68" t="n">
        <f aca="false">IF(S29=0,0,-S12/S29)</f>
        <v>8.33333333333333</v>
      </c>
      <c r="T38" s="68" t="n">
        <f aca="false">IF(T29=0,0,-T12/T29)</f>
        <v>8.33333333333333</v>
      </c>
      <c r="U38" s="68" t="n">
        <f aca="false">IF(U29=0,0,-U12/U29)</f>
        <v>8.33333333333333</v>
      </c>
      <c r="V38" s="68" t="n">
        <f aca="false">IF(V29=0,0,-V12/V29)</f>
        <v>8.33333333333333</v>
      </c>
      <c r="W38" s="68" t="n">
        <f aca="false">IF(W29=0,0,-W12/W29)</f>
        <v>8.33333333333333</v>
      </c>
      <c r="X38" s="68" t="n">
        <f aca="false">IF(X29=0,0,-X12/X29)</f>
        <v>8.33333333333333</v>
      </c>
      <c r="Y38" s="68" t="n">
        <f aca="false">IF(Y29=0,0,-Y12/Y29)</f>
        <v>8.33333333333333</v>
      </c>
      <c r="Z38" s="68" t="n">
        <f aca="false">IF(Z29=0,0,-Z12/Z29)</f>
        <v>8.33333333333333</v>
      </c>
      <c r="AA38" s="68" t="n">
        <f aca="false">IF(AA29=0,0,-AA12/AA29)</f>
        <v>10</v>
      </c>
      <c r="AB38" s="68" t="n">
        <f aca="false">IF(AB29=0,0,-AB12/AB29)</f>
        <v>10</v>
      </c>
      <c r="AC38" s="68" t="n">
        <f aca="false">IF(AC29=0,0,-AC12/AC29)</f>
        <v>10</v>
      </c>
      <c r="AD38" s="68" t="n">
        <f aca="false">IF(AD29=0,0,-AD12/AD29)</f>
        <v>10</v>
      </c>
      <c r="AE38" s="68" t="n">
        <f aca="false">IF(AE29=0,0,-AE12/AE29)</f>
        <v>10</v>
      </c>
      <c r="AF38" s="68" t="n">
        <f aca="false">IF(AF29=0,0,-AF12/AF29)</f>
        <v>10</v>
      </c>
      <c r="AG38" s="68" t="n">
        <f aca="false">IF(AG29=0,0,-AG12/AG29)</f>
        <v>10</v>
      </c>
      <c r="AH38" s="68" t="n">
        <f aca="false">IF(AH29=0,0,-AH12/AH29)</f>
        <v>10</v>
      </c>
      <c r="AI38" s="68" t="n">
        <f aca="false">IF(AI29=0,0,-AI12/AI29)</f>
        <v>10</v>
      </c>
      <c r="AJ38" s="68" t="n">
        <f aca="false">IF(AJ29=0,0,-AJ12/AJ29)</f>
        <v>10</v>
      </c>
      <c r="AK38" s="68" t="n">
        <f aca="false">IF(AK29=0,0,-AK12/AK29)</f>
        <v>10</v>
      </c>
      <c r="AL38" s="68" t="n">
        <f aca="false">IF(AL29=0,0,-AL12/AL29)</f>
        <v>10</v>
      </c>
      <c r="AM38" s="1"/>
      <c r="AN38" s="1"/>
      <c r="AO38" s="1"/>
      <c r="AP38" s="1"/>
      <c r="AQ38" s="1"/>
      <c r="AR38" s="1"/>
      <c r="AS38" s="1"/>
      <c r="AT38" s="1"/>
    </row>
    <row r="39" customFormat="false" ht="15" hidden="false" customHeight="false" outlineLevel="0" collapsed="false">
      <c r="A39" s="1"/>
      <c r="B39" s="30" t="s">
        <v>524</v>
      </c>
      <c r="C39" s="69" t="n">
        <f aca="false">IF(('Investment and Cash'!E8+'Investment and Cash'!E11)=0,0,24*C10/('Investment and Cash'!E8+'Investment and Cash'!E11))</f>
        <v>1.26315789473684</v>
      </c>
      <c r="D39" s="69" t="n">
        <f aca="false">IF(('Investment and Cash'!F8+'Investment and Cash'!F11)=0,0,24*D10/('Investment and Cash'!F8+'Investment and Cash'!F11))</f>
        <v>3</v>
      </c>
      <c r="E39" s="69" t="n">
        <f aca="false">IF(('Investment and Cash'!G8+'Investment and Cash'!G11)=0,0,24*E10/('Investment and Cash'!G8+'Investment and Cash'!G11))</f>
        <v>6.54545454545454</v>
      </c>
      <c r="F39" s="69" t="n">
        <f aca="false">IF(('Investment and Cash'!H8+'Investment and Cash'!H11)=0,0,24*F10/('Investment and Cash'!H8+'Investment and Cash'!H11))</f>
        <v>6.85714285714286</v>
      </c>
      <c r="G39" s="69" t="n">
        <f aca="false">IF(('Investment and Cash'!I8+'Investment and Cash'!I11)=0,0,24*G10/('Investment and Cash'!I8+'Investment and Cash'!I11))</f>
        <v>7.05882352941176</v>
      </c>
      <c r="H39" s="69" t="n">
        <f aca="false">IF(('Investment and Cash'!J8+'Investment and Cash'!J11)=0,0,24*H10/('Investment and Cash'!J8+'Investment and Cash'!J11))</f>
        <v>7.2</v>
      </c>
      <c r="I39" s="69" t="n">
        <f aca="false">IF(('Investment and Cash'!K8+'Investment and Cash'!K11)=0,0,24*I10/('Investment and Cash'!K8+'Investment and Cash'!K11))</f>
        <v>7.30434782608696</v>
      </c>
      <c r="J39" s="69" t="n">
        <f aca="false">IF(('Investment and Cash'!L8+'Investment and Cash'!L11)=0,0,24*J10/('Investment and Cash'!L8+'Investment and Cash'!L11))</f>
        <v>7.38461538461538</v>
      </c>
      <c r="K39" s="69" t="n">
        <f aca="false">IF(('Investment and Cash'!M8+'Investment and Cash'!M11)=0,0,24*K10/('Investment and Cash'!M8+'Investment and Cash'!M11))</f>
        <v>8</v>
      </c>
      <c r="L39" s="69" t="n">
        <f aca="false">IF(('Investment and Cash'!N8+'Investment and Cash'!N11)=0,0,24*L10/('Investment and Cash'!N8+'Investment and Cash'!N11))</f>
        <v>8</v>
      </c>
      <c r="M39" s="69" t="n">
        <f aca="false">IF(('Investment and Cash'!O8+'Investment and Cash'!O11)=0,0,24*M10/('Investment and Cash'!O8+'Investment and Cash'!O11))</f>
        <v>8</v>
      </c>
      <c r="N39" s="69" t="n">
        <f aca="false">IF(('Investment and Cash'!P8+'Investment and Cash'!P11)=0,0,24*N10/('Investment and Cash'!P8+'Investment and Cash'!P11))</f>
        <v>7.01754385964912</v>
      </c>
      <c r="O39" s="69" t="n">
        <f aca="false">IF(('Investment and Cash'!Q8+'Investment and Cash'!Q11)=0,0,24*O10/('Investment and Cash'!Q8+'Investment and Cash'!Q11))</f>
        <v>8</v>
      </c>
      <c r="P39" s="69" t="n">
        <f aca="false">IF(('Investment and Cash'!R8+'Investment and Cash'!R11)=0,0,24*P10/('Investment and Cash'!R8+'Investment and Cash'!R11))</f>
        <v>8</v>
      </c>
      <c r="Q39" s="69" t="n">
        <f aca="false">IF(('Investment and Cash'!S8+'Investment and Cash'!S11)=0,0,24*Q10/('Investment and Cash'!S8+'Investment and Cash'!S11))</f>
        <v>8</v>
      </c>
      <c r="R39" s="69" t="n">
        <f aca="false">IF(('Investment and Cash'!T8+'Investment and Cash'!T11)=0,0,24*R10/('Investment and Cash'!T8+'Investment and Cash'!T11))</f>
        <v>8</v>
      </c>
      <c r="S39" s="69" t="n">
        <f aca="false">IF(('Investment and Cash'!U8+'Investment and Cash'!U11)=0,0,24*S10/('Investment and Cash'!U8+'Investment and Cash'!U11))</f>
        <v>8</v>
      </c>
      <c r="T39" s="69" t="n">
        <f aca="false">IF(('Investment and Cash'!V8+'Investment and Cash'!V11)=0,0,24*T10/('Investment and Cash'!V8+'Investment and Cash'!V11))</f>
        <v>8</v>
      </c>
      <c r="U39" s="69" t="n">
        <f aca="false">IF(('Investment and Cash'!W8+'Investment and Cash'!W11)=0,0,24*U10/('Investment and Cash'!W8+'Investment and Cash'!W11))</f>
        <v>8</v>
      </c>
      <c r="V39" s="69" t="n">
        <f aca="false">IF(('Investment and Cash'!X8+'Investment and Cash'!X11)=0,0,24*V10/('Investment and Cash'!X8+'Investment and Cash'!X11))</f>
        <v>8</v>
      </c>
      <c r="W39" s="69" t="n">
        <f aca="false">IF(('Investment and Cash'!Y8+'Investment and Cash'!Y11)=0,0,24*W10/('Investment and Cash'!Y8+'Investment and Cash'!Y11))</f>
        <v>8</v>
      </c>
      <c r="X39" s="69" t="n">
        <f aca="false">IF(('Investment and Cash'!Z8+'Investment and Cash'!Z11)=0,0,24*X10/('Investment and Cash'!Z8+'Investment and Cash'!Z11))</f>
        <v>8</v>
      </c>
      <c r="Y39" s="69" t="n">
        <f aca="false">IF(('Investment and Cash'!AA8+'Investment and Cash'!AA11)=0,0,24*Y10/('Investment and Cash'!AA8+'Investment and Cash'!AA11))</f>
        <v>8</v>
      </c>
      <c r="Z39" s="69" t="n">
        <f aca="false">IF(('Investment and Cash'!AB8+'Investment and Cash'!AB11)=0,0,24*Z10/('Investment and Cash'!AB8+'Investment and Cash'!AB11))</f>
        <v>7.01754385964912</v>
      </c>
      <c r="AA39" s="69" t="n">
        <f aca="false">IF(('Investment and Cash'!AC8+'Investment and Cash'!AC11)=0,0,24*AA10/('Investment and Cash'!AC8+'Investment and Cash'!AC11))</f>
        <v>8</v>
      </c>
      <c r="AB39" s="69" t="n">
        <f aca="false">IF(('Investment and Cash'!AD8+'Investment and Cash'!AD11)=0,0,24*AB10/('Investment and Cash'!AD8+'Investment and Cash'!AD11))</f>
        <v>8</v>
      </c>
      <c r="AC39" s="69" t="n">
        <f aca="false">IF(('Investment and Cash'!AE8+'Investment and Cash'!AE11)=0,0,24*AC10/('Investment and Cash'!AE8+'Investment and Cash'!AE11))</f>
        <v>8</v>
      </c>
      <c r="AD39" s="69" t="n">
        <f aca="false">IF(('Investment and Cash'!AF8+'Investment and Cash'!AF11)=0,0,24*AD10/('Investment and Cash'!AF8+'Investment and Cash'!AF11))</f>
        <v>8</v>
      </c>
      <c r="AE39" s="69" t="n">
        <f aca="false">IF(('Investment and Cash'!AG8+'Investment and Cash'!AG11)=0,0,24*AE10/('Investment and Cash'!AG8+'Investment and Cash'!AG11))</f>
        <v>8</v>
      </c>
      <c r="AF39" s="69" t="n">
        <f aca="false">IF(('Investment and Cash'!AH8+'Investment and Cash'!AH11)=0,0,24*AF10/('Investment and Cash'!AH8+'Investment and Cash'!AH11))</f>
        <v>8</v>
      </c>
      <c r="AG39" s="69" t="n">
        <f aca="false">IF(('Investment and Cash'!AI8+'Investment and Cash'!AI11)=0,0,24*AG10/('Investment and Cash'!AI8+'Investment and Cash'!AI11))</f>
        <v>8</v>
      </c>
      <c r="AH39" s="69" t="n">
        <f aca="false">IF(('Investment and Cash'!AJ8+'Investment and Cash'!AJ11)=0,0,24*AH10/('Investment and Cash'!AJ8+'Investment and Cash'!AJ11))</f>
        <v>8</v>
      </c>
      <c r="AI39" s="69" t="n">
        <f aca="false">IF(('Investment and Cash'!AK8+'Investment and Cash'!AK11)=0,0,24*AI10/('Investment and Cash'!AK8+'Investment and Cash'!AK11))</f>
        <v>8</v>
      </c>
      <c r="AJ39" s="69" t="n">
        <f aca="false">IF(('Investment and Cash'!AL8+'Investment and Cash'!AL11)=0,0,24*AJ10/('Investment and Cash'!AL8+'Investment and Cash'!AL11))</f>
        <v>8</v>
      </c>
      <c r="AK39" s="69" t="n">
        <f aca="false">IF(('Investment and Cash'!AM8+'Investment and Cash'!AM11)=0,0,24*AK10/('Investment and Cash'!AM8+'Investment and Cash'!AM11))</f>
        <v>8</v>
      </c>
      <c r="AL39" s="69" t="n">
        <f aca="false">IF(('Investment and Cash'!AN8+'Investment and Cash'!AN11)=0,0,24*AL10/('Investment and Cash'!AN8+'Investment and Cash'!AN11))</f>
        <v>24</v>
      </c>
      <c r="AM39" s="1"/>
      <c r="AN39" s="1"/>
      <c r="AO39" s="1"/>
      <c r="AP39" s="1"/>
      <c r="AQ39" s="1"/>
      <c r="AR39" s="1"/>
      <c r="AS39" s="1"/>
      <c r="AT39" s="1"/>
    </row>
    <row r="40" customFormat="false" ht="15" hidden="false" customHeight="false" outlineLevel="0" collapsed="false">
      <c r="A40" s="1"/>
      <c r="B40" s="19" t="s">
        <v>121</v>
      </c>
      <c r="C40" s="67" t="n">
        <f aca="false">IF(C12=0,0,-C16/C12)</f>
        <v>0.02</v>
      </c>
      <c r="D40" s="67" t="n">
        <f aca="false">IF(D12=0,0,-D16/D12)</f>
        <v>0.02</v>
      </c>
      <c r="E40" s="67" t="n">
        <f aca="false">IF(E12=0,0,-E16/E12)</f>
        <v>0.02</v>
      </c>
      <c r="F40" s="67" t="n">
        <f aca="false">IF(F12=0,0,-F16/F12)</f>
        <v>0.02</v>
      </c>
      <c r="G40" s="67" t="n">
        <f aca="false">IF(G12=0,0,-G16/G12)</f>
        <v>0.02</v>
      </c>
      <c r="H40" s="67" t="n">
        <f aca="false">IF(H12=0,0,-H16/H12)</f>
        <v>0.02</v>
      </c>
      <c r="I40" s="67" t="n">
        <f aca="false">IF(I12=0,0,-I16/I12)</f>
        <v>0.02</v>
      </c>
      <c r="J40" s="67" t="n">
        <f aca="false">IF(J12=0,0,-J16/J12)</f>
        <v>0.02</v>
      </c>
      <c r="K40" s="67" t="n">
        <f aca="false">IF(K12=0,0,-K16/K12)</f>
        <v>0.02</v>
      </c>
      <c r="L40" s="67" t="n">
        <f aca="false">IF(L12=0,0,-L16/L12)</f>
        <v>0.02</v>
      </c>
      <c r="M40" s="67" t="n">
        <f aca="false">IF(M12=0,0,-M16/M12)</f>
        <v>0.02</v>
      </c>
      <c r="N40" s="67" t="n">
        <f aca="false">IF(N12=0,0,-N16/N12)</f>
        <v>0.02</v>
      </c>
      <c r="O40" s="67" t="n">
        <f aca="false">IF(O12=0,0,-O16/O12)</f>
        <v>0.02</v>
      </c>
      <c r="P40" s="67" t="n">
        <f aca="false">IF(P12=0,0,-P16/P12)</f>
        <v>0.02</v>
      </c>
      <c r="Q40" s="67" t="n">
        <f aca="false">IF(Q12=0,0,-Q16/Q12)</f>
        <v>0.02</v>
      </c>
      <c r="R40" s="67" t="n">
        <f aca="false">IF(R12=0,0,-R16/R12)</f>
        <v>0.02</v>
      </c>
      <c r="S40" s="67" t="n">
        <f aca="false">IF(S12=0,0,-S16/S12)</f>
        <v>0.02</v>
      </c>
      <c r="T40" s="67" t="n">
        <f aca="false">IF(T12=0,0,-T16/T12)</f>
        <v>0.02</v>
      </c>
      <c r="U40" s="67" t="n">
        <f aca="false">IF(U12=0,0,-U16/U12)</f>
        <v>0.02</v>
      </c>
      <c r="V40" s="67" t="n">
        <f aca="false">IF(V12=0,0,-V16/V12)</f>
        <v>0.02</v>
      </c>
      <c r="W40" s="67" t="n">
        <f aca="false">IF(W12=0,0,-W16/W12)</f>
        <v>0.02</v>
      </c>
      <c r="X40" s="67" t="n">
        <f aca="false">IF(X12=0,0,-X16/X12)</f>
        <v>0.02</v>
      </c>
      <c r="Y40" s="67" t="n">
        <f aca="false">IF(Y12=0,0,-Y16/Y12)</f>
        <v>0.02</v>
      </c>
      <c r="Z40" s="67" t="n">
        <f aca="false">IF(Z12=0,0,-Z16/Z12)</f>
        <v>0.02</v>
      </c>
      <c r="AA40" s="67" t="n">
        <f aca="false">IF(AA12=0,0,-AA16/AA12)</f>
        <v>0.02</v>
      </c>
      <c r="AB40" s="67" t="n">
        <f aca="false">IF(AB12=0,0,-AB16/AB12)</f>
        <v>0.02</v>
      </c>
      <c r="AC40" s="67" t="n">
        <f aca="false">IF(AC12=0,0,-AC16/AC12)</f>
        <v>0.02</v>
      </c>
      <c r="AD40" s="67" t="n">
        <f aca="false">IF(AD12=0,0,-AD16/AD12)</f>
        <v>0.02</v>
      </c>
      <c r="AE40" s="67" t="n">
        <f aca="false">IF(AE12=0,0,-AE16/AE12)</f>
        <v>0.02</v>
      </c>
      <c r="AF40" s="67" t="n">
        <f aca="false">IF(AF12=0,0,-AF16/AF12)</f>
        <v>0.02</v>
      </c>
      <c r="AG40" s="67" t="n">
        <f aca="false">IF(AG12=0,0,-AG16/AG12)</f>
        <v>0.02</v>
      </c>
      <c r="AH40" s="67" t="n">
        <f aca="false">IF(AH12=0,0,-AH16/AH12)</f>
        <v>0.02</v>
      </c>
      <c r="AI40" s="67" t="n">
        <f aca="false">IF(AI12=0,0,-AI16/AI12)</f>
        <v>0.02</v>
      </c>
      <c r="AJ40" s="67" t="n">
        <f aca="false">IF(AJ12=0,0,-AJ16/AJ12)</f>
        <v>0.02</v>
      </c>
      <c r="AK40" s="67" t="n">
        <f aca="false">IF(AK12=0,0,-AK16/AK12)</f>
        <v>0.02</v>
      </c>
      <c r="AL40" s="67" t="n">
        <f aca="false">IF(AL12=0,0,-AL16/AL12)</f>
        <v>0.02</v>
      </c>
      <c r="AM40" s="1"/>
      <c r="AN40" s="1"/>
      <c r="AO40" s="1"/>
      <c r="AP40" s="1"/>
      <c r="AQ40" s="1"/>
      <c r="AR40" s="1"/>
      <c r="AS40" s="1"/>
      <c r="AT40" s="1"/>
    </row>
    <row r="41" customFormat="false" ht="15" hidden="true" customHeight="false" outlineLevel="0" collapsed="false">
      <c r="A41" s="1"/>
      <c r="B41" s="47" t="s">
        <v>525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/>
      <c r="AN41" s="1"/>
      <c r="AO41" s="1"/>
      <c r="AP41" s="1"/>
      <c r="AQ41" s="1"/>
      <c r="AR41" s="1"/>
      <c r="AS41" s="1"/>
      <c r="AT41" s="1"/>
    </row>
    <row r="42" customFormat="false" ht="15" hidden="true" customHeight="false" outlineLevel="0" collapsed="false">
      <c r="A42" s="1"/>
      <c r="B42" s="47" t="s">
        <v>526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/>
      <c r="AN42" s="1"/>
      <c r="AO42" s="1"/>
      <c r="AP42" s="1"/>
      <c r="AQ42" s="1"/>
      <c r="AR42" s="1"/>
      <c r="AS42" s="1"/>
      <c r="AT42" s="1"/>
    </row>
    <row r="43" customFormat="false" ht="15" hidden="true" customHeight="false" outlineLevel="0" collapsed="false">
      <c r="A43" s="1"/>
      <c r="B43" s="47" t="s">
        <v>527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/>
      <c r="AN43" s="1"/>
      <c r="AO43" s="1"/>
      <c r="AP43" s="1"/>
      <c r="AQ43" s="1"/>
      <c r="AR43" s="1"/>
      <c r="AS43" s="1"/>
      <c r="A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12D"/>
    <pageSetUpPr fitToPage="false"/>
  </sheetPr>
  <dimension ref="A1:N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4" t="str">
        <f aca="false">"Currency: "&amp;a_currency&amp;"  ·  switch on the Dashboard"</f>
        <v>Currency: JPY  ·  switch on the Dashboard</v>
      </c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30" hidden="false" customHeight="true" outlineLevel="0" collapsed="false">
      <c r="A4" s="1"/>
      <c r="B4" s="3" t="s">
        <v>528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15" hidden="false" customHeight="false" outlineLevel="0" collapsed="false">
      <c r="A5" s="1"/>
      <c r="B5" s="25" t="s">
        <v>529</v>
      </c>
      <c r="C5" s="7"/>
      <c r="D5" s="7"/>
      <c r="E5" s="7"/>
      <c r="F5" s="7"/>
      <c r="G5" s="1"/>
      <c r="H5" s="1"/>
      <c r="I5" s="1"/>
      <c r="J5" s="1"/>
      <c r="K5" s="1"/>
      <c r="L5" s="1"/>
      <c r="M5" s="1"/>
      <c r="N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15" hidden="false" customHeight="false" outlineLevel="0" collapsed="false">
      <c r="A7" s="1"/>
      <c r="B7" s="17" t="s">
        <v>458</v>
      </c>
      <c r="C7" s="18" t="s">
        <v>530</v>
      </c>
      <c r="D7" s="18" t="s">
        <v>531</v>
      </c>
      <c r="E7" s="18" t="s">
        <v>532</v>
      </c>
      <c r="F7" s="18" t="s">
        <v>533</v>
      </c>
      <c r="G7" s="1"/>
      <c r="H7" s="1"/>
      <c r="I7" s="1"/>
      <c r="J7" s="1"/>
      <c r="K7" s="1"/>
      <c r="L7" s="1"/>
      <c r="M7" s="1"/>
      <c r="N7" s="1"/>
    </row>
    <row r="8" customFormat="false" ht="15" hidden="false" customHeight="false" outlineLevel="0" collapsed="false">
      <c r="A8" s="1"/>
      <c r="B8" s="19" t="s">
        <v>497</v>
      </c>
      <c r="C8" s="60" t="n">
        <f aca="false">SUM('PL Monthly'!C10:N10)</f>
        <v>600</v>
      </c>
      <c r="D8" s="60" t="n">
        <f aca="false">SUM('PL Monthly'!O10:Z10)</f>
        <v>1089</v>
      </c>
      <c r="E8" s="60" t="n">
        <f aca="false">SUM('PL Monthly'!AA10:AL10)</f>
        <v>1317.69</v>
      </c>
      <c r="F8" s="60" t="n">
        <f aca="false">SUM('PL Monthly'!C10:AL10)</f>
        <v>3006.69</v>
      </c>
      <c r="G8" s="1"/>
      <c r="H8" s="1"/>
      <c r="I8" s="1"/>
      <c r="J8" s="1"/>
      <c r="K8" s="1"/>
      <c r="L8" s="1"/>
      <c r="M8" s="1"/>
      <c r="N8" s="1"/>
    </row>
    <row r="9" customFormat="false" ht="15" hidden="false" customHeight="false" outlineLevel="0" collapsed="false">
      <c r="A9" s="1"/>
      <c r="B9" s="30" t="s">
        <v>499</v>
      </c>
      <c r="C9" s="61" t="n">
        <f aca="false">SUM('PL Monthly'!C12:N12)</f>
        <v>2100000</v>
      </c>
      <c r="D9" s="61" t="n">
        <f aca="false">SUM('PL Monthly'!O12:Z12)</f>
        <v>3811500</v>
      </c>
      <c r="E9" s="61" t="n">
        <f aca="false">SUM('PL Monthly'!AA12:AL12)</f>
        <v>4611915</v>
      </c>
      <c r="F9" s="61" t="n">
        <f aca="false">SUM('PL Monthly'!C12:AL12)</f>
        <v>10523415</v>
      </c>
      <c r="G9" s="1"/>
      <c r="H9" s="1"/>
      <c r="I9" s="1"/>
      <c r="J9" s="1"/>
      <c r="K9" s="1"/>
      <c r="L9" s="1"/>
      <c r="M9" s="1"/>
      <c r="N9" s="1"/>
    </row>
    <row r="10" customFormat="false" ht="15" hidden="false" customHeight="false" outlineLevel="0" collapsed="false">
      <c r="A10" s="1"/>
      <c r="B10" s="19" t="s">
        <v>500</v>
      </c>
      <c r="C10" s="62" t="n">
        <f aca="false">SUM('PL Monthly'!C13:N13)</f>
        <v>-190909.090909091</v>
      </c>
      <c r="D10" s="62" t="n">
        <f aca="false">SUM('PL Monthly'!O13:Z13)</f>
        <v>-346500</v>
      </c>
      <c r="E10" s="62" t="n">
        <f aca="false">SUM('PL Monthly'!AA13:AL13)</f>
        <v>-419265</v>
      </c>
      <c r="F10" s="62" t="n">
        <f aca="false">SUM('PL Monthly'!C13:AL13)</f>
        <v>-956674.090909091</v>
      </c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/>
      <c r="B11" s="30" t="s">
        <v>102</v>
      </c>
      <c r="C11" s="61" t="n">
        <f aca="false">SUM('PL Monthly'!C14:N14)</f>
        <v>-21000</v>
      </c>
      <c r="D11" s="61" t="n">
        <f aca="false">SUM('PL Monthly'!O14:Z14)</f>
        <v>-38115</v>
      </c>
      <c r="E11" s="61" t="n">
        <f aca="false">SUM('PL Monthly'!AA14:AL14)</f>
        <v>-46119.15</v>
      </c>
      <c r="F11" s="61" t="n">
        <f aca="false">SUM('PL Monthly'!C14:AL14)</f>
        <v>-105234.15</v>
      </c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9" t="s">
        <v>501</v>
      </c>
      <c r="C12" s="62" t="n">
        <f aca="false">SUM('PL Monthly'!C15:N15)</f>
        <v>-52500</v>
      </c>
      <c r="D12" s="62" t="n">
        <f aca="false">SUM('PL Monthly'!O15:Z15)</f>
        <v>-76230</v>
      </c>
      <c r="E12" s="62" t="n">
        <f aca="false">SUM('PL Monthly'!AA15:AL15)</f>
        <v>-92238.3</v>
      </c>
      <c r="F12" s="62" t="n">
        <f aca="false">SUM('PL Monthly'!C15:AL15)</f>
        <v>-220968.3</v>
      </c>
      <c r="G12" s="1"/>
      <c r="H12" s="1"/>
      <c r="I12" s="1"/>
      <c r="J12" s="1"/>
      <c r="K12" s="1"/>
      <c r="L12" s="1"/>
      <c r="M12" s="1"/>
      <c r="N12" s="1"/>
    </row>
    <row r="13" customFormat="false" ht="15" hidden="false" customHeight="false" outlineLevel="0" collapsed="false">
      <c r="A13" s="1"/>
      <c r="B13" s="30" t="s">
        <v>502</v>
      </c>
      <c r="C13" s="61" t="n">
        <f aca="false">SUM('PL Monthly'!C16:N16)</f>
        <v>-42000</v>
      </c>
      <c r="D13" s="61" t="n">
        <f aca="false">SUM('PL Monthly'!O16:Z16)</f>
        <v>-76230</v>
      </c>
      <c r="E13" s="61" t="n">
        <f aca="false">SUM('PL Monthly'!AA16:AL16)</f>
        <v>-92238.3</v>
      </c>
      <c r="F13" s="61" t="n">
        <f aca="false">SUM('PL Monthly'!C16:AL16)</f>
        <v>-210468.3</v>
      </c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63" t="s">
        <v>503</v>
      </c>
      <c r="C14" s="64" t="n">
        <f aca="false">SUM('PL Monthly'!C17:N17)</f>
        <v>1793590.90909091</v>
      </c>
      <c r="D14" s="64" t="n">
        <f aca="false">SUM('PL Monthly'!O17:Z17)</f>
        <v>3274425</v>
      </c>
      <c r="E14" s="64" t="n">
        <f aca="false">SUM('PL Monthly'!AA17:AL17)</f>
        <v>3962054.25</v>
      </c>
      <c r="F14" s="64" t="n">
        <f aca="false">SUM('PL Monthly'!C17:AL17)</f>
        <v>9030070.15909091</v>
      </c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30" t="s">
        <v>504</v>
      </c>
      <c r="C15" s="61" t="n">
        <f aca="false">SUM('PL Monthly'!C18:N18)</f>
        <v>-945000</v>
      </c>
      <c r="D15" s="61" t="n">
        <f aca="false">SUM('PL Monthly'!O18:Z18)</f>
        <v>-1715175</v>
      </c>
      <c r="E15" s="61" t="n">
        <f aca="false">SUM('PL Monthly'!AA18:AL18)</f>
        <v>-2075361.75</v>
      </c>
      <c r="F15" s="61" t="n">
        <f aca="false">SUM('PL Monthly'!C18:AL18)</f>
        <v>-4735536.75</v>
      </c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9" t="s">
        <v>505</v>
      </c>
      <c r="C16" s="62" t="n">
        <f aca="false">SUM('PL Monthly'!C19:N19)</f>
        <v>-30000</v>
      </c>
      <c r="D16" s="62" t="n">
        <f aca="false">SUM('PL Monthly'!O19:Z19)</f>
        <v>-54450</v>
      </c>
      <c r="E16" s="62" t="n">
        <f aca="false">SUM('PL Monthly'!AA19:AL19)</f>
        <v>-65884.5</v>
      </c>
      <c r="F16" s="62" t="n">
        <f aca="false">SUM('PL Monthly'!C19:AL19)</f>
        <v>-150334.5</v>
      </c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30" t="s">
        <v>506</v>
      </c>
      <c r="C17" s="61" t="n">
        <f aca="false">SUM('PL Monthly'!C20:N20)</f>
        <v>0</v>
      </c>
      <c r="D17" s="61" t="n">
        <f aca="false">SUM('PL Monthly'!O20:Z20)</f>
        <v>0</v>
      </c>
      <c r="E17" s="61" t="n">
        <f aca="false">SUM('PL Monthly'!AA20:AL20)</f>
        <v>0</v>
      </c>
      <c r="F17" s="61" t="n">
        <f aca="false">SUM('PL Monthly'!C20:AL20)</f>
        <v>0</v>
      </c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9" t="s">
        <v>138</v>
      </c>
      <c r="C18" s="62" t="n">
        <f aca="false">SUM('PL Monthly'!C21:N21)</f>
        <v>-9750</v>
      </c>
      <c r="D18" s="62" t="n">
        <f aca="false">SUM('PL Monthly'!O21:Z21)</f>
        <v>-17696.25</v>
      </c>
      <c r="E18" s="62" t="n">
        <f aca="false">SUM('PL Monthly'!AA21:AL21)</f>
        <v>-21412.4625</v>
      </c>
      <c r="F18" s="62" t="n">
        <f aca="false">SUM('PL Monthly'!C21:AL21)</f>
        <v>-48858.7125</v>
      </c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63" t="s">
        <v>507</v>
      </c>
      <c r="C19" s="64" t="n">
        <f aca="false">SUM('PL Monthly'!C22:N22)</f>
        <v>808840.909090909</v>
      </c>
      <c r="D19" s="64" t="n">
        <f aca="false">SUM('PL Monthly'!O22:Z22)</f>
        <v>1487103.75</v>
      </c>
      <c r="E19" s="64" t="n">
        <f aca="false">SUM('PL Monthly'!AA22:AL22)</f>
        <v>1799395.5375</v>
      </c>
      <c r="F19" s="64" t="n">
        <f aca="false">SUM('PL Monthly'!C22:AL22)</f>
        <v>4095340.19659091</v>
      </c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9" t="s">
        <v>508</v>
      </c>
      <c r="C20" s="62" t="n">
        <f aca="false">SUM('PL Monthly'!C23:N23)</f>
        <v>-218400</v>
      </c>
      <c r="D20" s="62" t="n">
        <f aca="false">SUM('PL Monthly'!O23:Z23)</f>
        <v>-396396</v>
      </c>
      <c r="E20" s="62" t="n">
        <f aca="false">SUM('PL Monthly'!AA23:AL23)</f>
        <v>-479639.16</v>
      </c>
      <c r="F20" s="62" t="n">
        <f aca="false">SUM('PL Monthly'!C23:AL23)</f>
        <v>-1094435.16</v>
      </c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30" t="s">
        <v>509</v>
      </c>
      <c r="C21" s="61" t="n">
        <f aca="false">SUM('PL Monthly'!C24:N24)</f>
        <v>-226363.636363636</v>
      </c>
      <c r="D21" s="61" t="n">
        <f aca="false">SUM('PL Monthly'!O24:Z24)</f>
        <v>-410850</v>
      </c>
      <c r="E21" s="61" t="n">
        <f aca="false">SUM('PL Monthly'!AA24:AL24)</f>
        <v>-497128.5</v>
      </c>
      <c r="F21" s="61" t="n">
        <f aca="false">SUM('PL Monthly'!C24:AL24)</f>
        <v>-1134342.13636364</v>
      </c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9" t="s">
        <v>510</v>
      </c>
      <c r="C22" s="62" t="n">
        <f aca="false">SUM('PL Monthly'!C25:N25)</f>
        <v>-4046.12496</v>
      </c>
      <c r="D22" s="62" t="n">
        <f aca="false">SUM('PL Monthly'!O25:Z25)</f>
        <v>-6586.7777316</v>
      </c>
      <c r="E22" s="62" t="n">
        <f aca="false">SUM('PL Monthly'!AA25:AL25)</f>
        <v>-7525.7360739</v>
      </c>
      <c r="F22" s="62" t="n">
        <f aca="false">SUM('PL Monthly'!C25:AL25)</f>
        <v>-18158.6387655</v>
      </c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30" t="s">
        <v>511</v>
      </c>
      <c r="C23" s="61" t="n">
        <f aca="false">SUM('PL Monthly'!C26:N26)</f>
        <v>0</v>
      </c>
      <c r="D23" s="61" t="n">
        <f aca="false">SUM('PL Monthly'!O26:Z26)</f>
        <v>0</v>
      </c>
      <c r="E23" s="61" t="n">
        <f aca="false">SUM('PL Monthly'!AA26:AL26)</f>
        <v>0</v>
      </c>
      <c r="F23" s="61" t="n">
        <f aca="false">SUM('PL Monthly'!C26:AL26)</f>
        <v>0</v>
      </c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9" t="s">
        <v>512</v>
      </c>
      <c r="C24" s="62" t="n">
        <f aca="false">SUM('PL Monthly'!C27:N27)</f>
        <v>3494.4</v>
      </c>
      <c r="D24" s="62" t="n">
        <f aca="false">SUM('PL Monthly'!O27:Z27)</f>
        <v>6342.336</v>
      </c>
      <c r="E24" s="62" t="n">
        <f aca="false">SUM('PL Monthly'!AA27:AL27)</f>
        <v>7674.22656</v>
      </c>
      <c r="F24" s="62" t="n">
        <f aca="false">SUM('PL Monthly'!C27:AL27)</f>
        <v>17510.96256</v>
      </c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63" t="s">
        <v>513</v>
      </c>
      <c r="C25" s="64" t="n">
        <f aca="false">SUM('PL Monthly'!C28:N28)</f>
        <v>363525.547767273</v>
      </c>
      <c r="D25" s="64" t="n">
        <f aca="false">SUM('PL Monthly'!O28:Z28)</f>
        <v>679613.3082684</v>
      </c>
      <c r="E25" s="64" t="n">
        <f aca="false">SUM('PL Monthly'!AA28:AL28)</f>
        <v>822776.3679861</v>
      </c>
      <c r="F25" s="64" t="n">
        <f aca="false">SUM('PL Monthly'!C28:AL28)</f>
        <v>1865915.22402177</v>
      </c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9" t="s">
        <v>514</v>
      </c>
      <c r="C26" s="62" t="n">
        <f aca="false">SUM('PL Monthly'!C29:N29)</f>
        <v>-438143.939393939</v>
      </c>
      <c r="D26" s="62" t="n">
        <f aca="false">SUM('PL Monthly'!O29:Z29)</f>
        <v>-457380</v>
      </c>
      <c r="E26" s="62" t="n">
        <f aca="false">SUM('PL Monthly'!AA29:AL29)</f>
        <v>-461191.5</v>
      </c>
      <c r="F26" s="62" t="n">
        <f aca="false">SUM('PL Monthly'!C29:AL29)</f>
        <v>-1356715.43939394</v>
      </c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30" t="s">
        <v>515</v>
      </c>
      <c r="C27" s="61" t="n">
        <f aca="false">SUM('PL Monthly'!C30:N30)</f>
        <v>-240000</v>
      </c>
      <c r="D27" s="61" t="n">
        <f aca="false">SUM('PL Monthly'!O30:Z30)</f>
        <v>-240000</v>
      </c>
      <c r="E27" s="61" t="n">
        <f aca="false">SUM('PL Monthly'!AA30:AL30)</f>
        <v>-240000</v>
      </c>
      <c r="F27" s="61" t="n">
        <f aca="false">SUM('PL Monthly'!C30:AL30)</f>
        <v>-720000</v>
      </c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9" t="s">
        <v>516</v>
      </c>
      <c r="C28" s="62" t="n">
        <f aca="false">SUM('PL Monthly'!C31:N31)</f>
        <v>0</v>
      </c>
      <c r="D28" s="62" t="n">
        <f aca="false">SUM('PL Monthly'!O31:Z31)</f>
        <v>0</v>
      </c>
      <c r="E28" s="62" t="n">
        <f aca="false">SUM('PL Monthly'!AA31:AL31)</f>
        <v>0</v>
      </c>
      <c r="F28" s="62" t="n">
        <f aca="false">SUM('PL Monthly'!C31:AL31)</f>
        <v>0</v>
      </c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30" t="s">
        <v>517</v>
      </c>
      <c r="C29" s="61" t="n">
        <f aca="false">SUM('PL Monthly'!C32:N32)</f>
        <v>-58800</v>
      </c>
      <c r="D29" s="61" t="n">
        <f aca="false">SUM('PL Monthly'!O32:Z32)</f>
        <v>-58800</v>
      </c>
      <c r="E29" s="61" t="n">
        <f aca="false">SUM('PL Monthly'!AA32:AL32)</f>
        <v>-58800</v>
      </c>
      <c r="F29" s="61" t="n">
        <f aca="false">SUM('PL Monthly'!C32:AL32)</f>
        <v>-176400</v>
      </c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9" t="s">
        <v>518</v>
      </c>
      <c r="C30" s="62" t="n">
        <f aca="false">SUM('PL Monthly'!C33:N33)</f>
        <v>-36000</v>
      </c>
      <c r="D30" s="62" t="n">
        <f aca="false">SUM('PL Monthly'!O33:Z33)</f>
        <v>-36000</v>
      </c>
      <c r="E30" s="62" t="n">
        <f aca="false">SUM('PL Monthly'!AA33:AL33)</f>
        <v>-36000</v>
      </c>
      <c r="F30" s="62" t="n">
        <f aca="false">SUM('PL Monthly'!C33:AL33)</f>
        <v>-108000</v>
      </c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30" t="s">
        <v>519</v>
      </c>
      <c r="C31" s="61" t="n">
        <f aca="false">SUM('PL Monthly'!C34:N34)</f>
        <v>-840000</v>
      </c>
      <c r="D31" s="61" t="n">
        <f aca="false">SUM('PL Monthly'!O34:Z34)</f>
        <v>-840000</v>
      </c>
      <c r="E31" s="61" t="n">
        <f aca="false">SUM('PL Monthly'!AA34:AL34)</f>
        <v>-840000</v>
      </c>
      <c r="F31" s="61" t="n">
        <f aca="false">SUM('PL Monthly'!C34:AL34)</f>
        <v>-2520000</v>
      </c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65" t="s">
        <v>520</v>
      </c>
      <c r="C32" s="66" t="n">
        <f aca="false">SUM('PL Monthly'!C35:N35)</f>
        <v>-1249418.39162667</v>
      </c>
      <c r="D32" s="66" t="n">
        <f aca="false">SUM('PL Monthly'!O35:Z35)</f>
        <v>-952566.6917316</v>
      </c>
      <c r="E32" s="66" t="n">
        <f aca="false">SUM('PL Monthly'!AA35:AL35)</f>
        <v>-813215.132013901</v>
      </c>
      <c r="F32" s="66" t="n">
        <f aca="false">SUM('PL Monthly'!C35:AL35)</f>
        <v>-3015200.21537217</v>
      </c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27" t="s">
        <v>522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30" t="s">
        <v>523</v>
      </c>
      <c r="C34" s="69" t="n">
        <f aca="false">IF(SUM('PL Monthly'!C29:N29)=0,0,-SUM('PL Monthly'!C12:N12)/SUM('PL Monthly'!C29:N29))</f>
        <v>4.79294544825798</v>
      </c>
      <c r="D34" s="69" t="n">
        <f aca="false">IF(SUM('PL Monthly'!O29:Z29)=0,0,-SUM('PL Monthly'!O12:Z12)/SUM('PL Monthly'!O29:Z29))</f>
        <v>8.33333333333333</v>
      </c>
      <c r="E34" s="69" t="n">
        <f aca="false">IF(SUM('PL Monthly'!AA29:AL29)=0,0,-SUM('PL Monthly'!AA12:AL12)/SUM('PL Monthly'!AA29:AL29))</f>
        <v>10</v>
      </c>
      <c r="F34" s="69" t="n">
        <f aca="false">IF(SUM('PL Monthly'!C29:AL29)=0,0,-SUM('PL Monthly'!C12:AL12)/SUM('PL Monthly'!C29:AL29))</f>
        <v>7.75653810256699</v>
      </c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9" t="s">
        <v>524</v>
      </c>
      <c r="C35" s="68" t="n">
        <f aca="false">IF((SUM('Investment and Cash'!E8:P8)+SUM('Investment and Cash'!E11:P11))=0,0,24*SUM('PL Monthly'!C10:N10)/(SUM('Investment and Cash'!E8:P8)+SUM('Investment and Cash'!E11:P11)))</f>
        <v>6.70339048801303</v>
      </c>
      <c r="D35" s="68" t="n">
        <f aca="false">IF((SUM('Investment and Cash'!Q8:AB8)+SUM('Investment and Cash'!Q11:AB11))=0,0,24*SUM('PL Monthly'!O10:Z10)/(SUM('Investment and Cash'!Q8:AB8)+SUM('Investment and Cash'!Q11:AB11)))</f>
        <v>7.90774299835255</v>
      </c>
      <c r="E35" s="68" t="n">
        <f aca="false">IF((SUM('Investment and Cash'!AC8:AN8)+SUM('Investment and Cash'!AC11:AN11))=0,0,24*SUM('PL Monthly'!AA10:AL10)/(SUM('Investment and Cash'!AC8:AN8)+SUM('Investment and Cash'!AC11:AN11)))</f>
        <v>8.47058823529412</v>
      </c>
      <c r="F35" s="68" t="n">
        <f aca="false">IF((SUM('Investment and Cash'!E8:AN8)+SUM('Investment and Cash'!E11:AN11))=0,0,24*SUM('PL Monthly'!C10:AL10)/(SUM('Investment and Cash'!E8:AN8)+SUM('Investment and Cash'!E11:AN11)))</f>
        <v>7.85486322491737</v>
      </c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30" t="s">
        <v>121</v>
      </c>
      <c r="C36" s="70" t="n">
        <f aca="false">IF(SUM('PL Monthly'!C12:N12)=0,0,-SUM('PL Monthly'!C16:N16)/SUM('PL Monthly'!C12:N12))</f>
        <v>0.02</v>
      </c>
      <c r="D36" s="70" t="n">
        <f aca="false">IF(SUM('PL Monthly'!O12:Z12)=0,0,-SUM('PL Monthly'!O16:Z16)/SUM('PL Monthly'!O12:Z12))</f>
        <v>0.02</v>
      </c>
      <c r="E36" s="70" t="n">
        <f aca="false">IF(SUM('PL Monthly'!AA12:AL12)=0,0,-SUM('PL Monthly'!AA16:AL16)/SUM('PL Monthly'!AA12:AL12))</f>
        <v>0.02</v>
      </c>
      <c r="F36" s="70" t="n">
        <f aca="false">IF(SUM('PL Monthly'!C12:AL12)=0,0,-SUM('PL Monthly'!C16:AL16)/SUM('PL Monthly'!C12:AL12))</f>
        <v>0.02</v>
      </c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12D"/>
    <pageSetUpPr fitToPage="false"/>
  </sheetPr>
  <dimension ref="A1:AV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0" min="3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4" t="str">
        <f aca="false">"Currency: "&amp;a_currency&amp;"  ·  switch on the Dashboard"</f>
        <v>Currency: JPY  ·  switch on the Dashboard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customFormat="false" ht="30" hidden="false" customHeight="true" outlineLevel="0" collapsed="false">
      <c r="A4" s="1"/>
      <c r="B4" s="3" t="s">
        <v>534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customFormat="false" ht="15" hidden="false" customHeight="false" outlineLevel="0" collapsed="false">
      <c r="A5" s="1"/>
      <c r="B5" s="25" t="s">
        <v>535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customFormat="false" ht="15" hidden="false" customHeight="false" outlineLevel="0" collapsed="false">
      <c r="A7" s="1"/>
      <c r="B7" s="57" t="s">
        <v>536</v>
      </c>
      <c r="C7" s="45" t="s">
        <v>537</v>
      </c>
      <c r="D7" s="45" t="s">
        <v>538</v>
      </c>
      <c r="E7" s="45" t="s">
        <v>459</v>
      </c>
      <c r="F7" s="45" t="s">
        <v>460</v>
      </c>
      <c r="G7" s="45" t="s">
        <v>461</v>
      </c>
      <c r="H7" s="45" t="s">
        <v>462</v>
      </c>
      <c r="I7" s="45" t="s">
        <v>463</v>
      </c>
      <c r="J7" s="45" t="s">
        <v>464</v>
      </c>
      <c r="K7" s="45" t="s">
        <v>465</v>
      </c>
      <c r="L7" s="45" t="s">
        <v>466</v>
      </c>
      <c r="M7" s="45" t="s">
        <v>467</v>
      </c>
      <c r="N7" s="45" t="s">
        <v>468</v>
      </c>
      <c r="O7" s="45" t="s">
        <v>469</v>
      </c>
      <c r="P7" s="45" t="s">
        <v>470</v>
      </c>
      <c r="Q7" s="45" t="s">
        <v>471</v>
      </c>
      <c r="R7" s="45" t="s">
        <v>472</v>
      </c>
      <c r="S7" s="45" t="s">
        <v>473</v>
      </c>
      <c r="T7" s="45" t="s">
        <v>474</v>
      </c>
      <c r="U7" s="45" t="s">
        <v>475</v>
      </c>
      <c r="V7" s="45" t="s">
        <v>476</v>
      </c>
      <c r="W7" s="45" t="s">
        <v>477</v>
      </c>
      <c r="X7" s="45" t="s">
        <v>478</v>
      </c>
      <c r="Y7" s="45" t="s">
        <v>479</v>
      </c>
      <c r="Z7" s="45" t="s">
        <v>480</v>
      </c>
      <c r="AA7" s="45" t="s">
        <v>481</v>
      </c>
      <c r="AB7" s="45" t="s">
        <v>482</v>
      </c>
      <c r="AC7" s="45" t="s">
        <v>483</v>
      </c>
      <c r="AD7" s="45" t="s">
        <v>484</v>
      </c>
      <c r="AE7" s="45" t="s">
        <v>485</v>
      </c>
      <c r="AF7" s="45" t="s">
        <v>486</v>
      </c>
      <c r="AG7" s="45" t="s">
        <v>487</v>
      </c>
      <c r="AH7" s="45" t="s">
        <v>488</v>
      </c>
      <c r="AI7" s="45" t="s">
        <v>489</v>
      </c>
      <c r="AJ7" s="45" t="s">
        <v>490</v>
      </c>
      <c r="AK7" s="45" t="s">
        <v>491</v>
      </c>
      <c r="AL7" s="45" t="s">
        <v>492</v>
      </c>
      <c r="AM7" s="45" t="s">
        <v>493</v>
      </c>
      <c r="AN7" s="45" t="s">
        <v>494</v>
      </c>
      <c r="AO7" s="1"/>
      <c r="AP7" s="1"/>
      <c r="AQ7" s="1"/>
      <c r="AR7" s="1"/>
      <c r="AS7" s="1"/>
      <c r="AT7" s="1"/>
      <c r="AU7" s="1"/>
      <c r="AV7" s="1"/>
    </row>
    <row r="8" customFormat="false" ht="15" hidden="false" customHeight="false" outlineLevel="0" collapsed="false">
      <c r="A8" s="1"/>
      <c r="B8" s="47" t="s">
        <v>539</v>
      </c>
      <c r="C8" s="60" t="n">
        <f aca="false">0+C10</f>
        <v>0</v>
      </c>
      <c r="D8" s="60" t="n">
        <f aca="false">C11+D10</f>
        <v>0</v>
      </c>
      <c r="E8" s="60" t="n">
        <f aca="false">D11+E10</f>
        <v>83.3333333333333</v>
      </c>
      <c r="F8" s="60" t="n">
        <f aca="false">E11+F10</f>
        <v>75</v>
      </c>
      <c r="G8" s="60" t="n">
        <f aca="false">F11+G10</f>
        <v>58.3333333333333</v>
      </c>
      <c r="H8" s="60" t="n">
        <f aca="false">G11+H10</f>
        <v>75</v>
      </c>
      <c r="I8" s="60" t="n">
        <f aca="false">H11+I10</f>
        <v>91.6666666666667</v>
      </c>
      <c r="J8" s="60" t="n">
        <f aca="false">I11+J10</f>
        <v>108.333333333333</v>
      </c>
      <c r="K8" s="60" t="n">
        <f aca="false">J11+K10</f>
        <v>125</v>
      </c>
      <c r="L8" s="60" t="n">
        <f aca="false">K11+L10</f>
        <v>141.666666666667</v>
      </c>
      <c r="M8" s="60" t="n">
        <f aca="false">L11+M10</f>
        <v>150</v>
      </c>
      <c r="N8" s="60" t="n">
        <f aca="false">M11+N10</f>
        <v>150</v>
      </c>
      <c r="O8" s="60" t="n">
        <f aca="false">N11+O10</f>
        <v>150</v>
      </c>
      <c r="P8" s="60" t="n">
        <f aca="false">O11+P10</f>
        <v>165.75</v>
      </c>
      <c r="Q8" s="60" t="n">
        <f aca="false">P11+Q10</f>
        <v>181.5</v>
      </c>
      <c r="R8" s="60" t="n">
        <f aca="false">Q11+R10</f>
        <v>181.5</v>
      </c>
      <c r="S8" s="60" t="n">
        <f aca="false">R11+S10</f>
        <v>181.5</v>
      </c>
      <c r="T8" s="60" t="n">
        <f aca="false">S11+T10</f>
        <v>181.5</v>
      </c>
      <c r="U8" s="60" t="n">
        <f aca="false">T11+U10</f>
        <v>181.5</v>
      </c>
      <c r="V8" s="60" t="n">
        <f aca="false">U11+V10</f>
        <v>181.5</v>
      </c>
      <c r="W8" s="60" t="n">
        <f aca="false">V11+W10</f>
        <v>181.5</v>
      </c>
      <c r="X8" s="60" t="n">
        <f aca="false">W11+X10</f>
        <v>181.5</v>
      </c>
      <c r="Y8" s="60" t="n">
        <f aca="false">X11+Y10</f>
        <v>181.5</v>
      </c>
      <c r="Z8" s="60" t="n">
        <f aca="false">Y11+Z10</f>
        <v>181.5</v>
      </c>
      <c r="AA8" s="60" t="n">
        <f aca="false">Z11+AA10</f>
        <v>181.5</v>
      </c>
      <c r="AB8" s="60" t="n">
        <f aca="false">AA11+AB10</f>
        <v>200.5575</v>
      </c>
      <c r="AC8" s="60" t="n">
        <f aca="false">AB11+AC10</f>
        <v>219.615</v>
      </c>
      <c r="AD8" s="60" t="n">
        <f aca="false">AC11+AD10</f>
        <v>219.615</v>
      </c>
      <c r="AE8" s="60" t="n">
        <f aca="false">AD11+AE10</f>
        <v>219.615</v>
      </c>
      <c r="AF8" s="60" t="n">
        <f aca="false">AE11+AF10</f>
        <v>219.615</v>
      </c>
      <c r="AG8" s="60" t="n">
        <f aca="false">AF11+AG10</f>
        <v>219.615</v>
      </c>
      <c r="AH8" s="60" t="n">
        <f aca="false">AG11+AH10</f>
        <v>219.615</v>
      </c>
      <c r="AI8" s="60" t="n">
        <f aca="false">AH11+AI10</f>
        <v>219.615</v>
      </c>
      <c r="AJ8" s="60" t="n">
        <f aca="false">AI11+AJ10</f>
        <v>219.615</v>
      </c>
      <c r="AK8" s="60" t="n">
        <f aca="false">AJ11+AK10</f>
        <v>219.615</v>
      </c>
      <c r="AL8" s="60" t="n">
        <f aca="false">AK11+AL10</f>
        <v>219.615</v>
      </c>
      <c r="AM8" s="60" t="n">
        <f aca="false">AL11+AM10</f>
        <v>219.615</v>
      </c>
      <c r="AN8" s="60" t="n">
        <f aca="false">AM11+AN10</f>
        <v>109.8075</v>
      </c>
      <c r="AO8" s="1"/>
      <c r="AP8" s="1"/>
      <c r="AQ8" s="1"/>
      <c r="AR8" s="1"/>
      <c r="AS8" s="1"/>
      <c r="AT8" s="1"/>
      <c r="AU8" s="1"/>
      <c r="AV8" s="1"/>
    </row>
    <row r="9" customFormat="false" ht="15" hidden="false" customHeight="false" outlineLevel="0" collapsed="false">
      <c r="A9" s="1"/>
      <c r="B9" s="47" t="s">
        <v>540</v>
      </c>
      <c r="C9" s="60" t="n">
        <f aca="false">MAX(SUM('PL Monthly'!C10:F10),a_moq_units)</f>
        <v>83.3333333333333</v>
      </c>
      <c r="D9" s="60" t="n">
        <f aca="false">IF((C11+C9-SUM('PL Monthly'!C10))&lt;SUM('PL Monthly'!D10:E10),MAX(SUM('PL Monthly'!D10:E10)-(C11+C9-SUM('PL Monthly'!C10)),a_moq_units),0)</f>
        <v>0</v>
      </c>
      <c r="E9" s="60" t="n">
        <f aca="false">IF((D11+C9+D9-SUM('PL Monthly'!C10:D10))&lt;SUM('PL Monthly'!E10:F10),MAX(SUM('PL Monthly'!E10:F10)-(D11+C9+D9-SUM('PL Monthly'!C10:D10)),a_moq_units),0)</f>
        <v>0</v>
      </c>
      <c r="F9" s="60" t="n">
        <f aca="false">IF((E11+D9+E9-SUM('PL Monthly'!D10:E10))&lt;SUM('PL Monthly'!F10:G10),MAX(SUM('PL Monthly'!F10:G10)-(E11+D9+E9-SUM('PL Monthly'!D10:E10)),a_moq_units),0)</f>
        <v>41.6666666666667</v>
      </c>
      <c r="G9" s="60" t="n">
        <f aca="false">IF((F11+E9+F9-SUM('PL Monthly'!E10:F10))&lt;SUM('PL Monthly'!G10:H10),MAX(SUM('PL Monthly'!G10:H10)-(F11+E9+F9-SUM('PL Monthly'!E10:F10)),a_moq_units),0)</f>
        <v>50</v>
      </c>
      <c r="H9" s="60" t="n">
        <f aca="false">IF((G11+F9+G9-SUM('PL Monthly'!F10:G10))&lt;SUM('PL Monthly'!H10:I10),MAX(SUM('PL Monthly'!H10:I10)-(G11+F9+G9-SUM('PL Monthly'!F10:G10)),a_moq_units),0)</f>
        <v>58.3333333333333</v>
      </c>
      <c r="I9" s="60" t="n">
        <f aca="false">IF((H11+G9+H9-SUM('PL Monthly'!G10:H10))&lt;SUM('PL Monthly'!I10:J10),MAX(SUM('PL Monthly'!I10:J10)-(H11+G9+H9-SUM('PL Monthly'!G10:H10)),a_moq_units),0)</f>
        <v>66.6666666666667</v>
      </c>
      <c r="J9" s="60" t="n">
        <f aca="false">IF((I11+H9+I9-SUM('PL Monthly'!H10:I10))&lt;SUM('PL Monthly'!J10:K10),MAX(SUM('PL Monthly'!J10:K10)-(I11+H9+I9-SUM('PL Monthly'!H10:I10)),a_moq_units),0)</f>
        <v>75</v>
      </c>
      <c r="K9" s="60" t="n">
        <f aca="false">IF((J11+I9+J9-SUM('PL Monthly'!I10:J10))&lt;SUM('PL Monthly'!K10:L10),MAX(SUM('PL Monthly'!K10:L10)-(J11+I9+J9-SUM('PL Monthly'!I10:J10)),a_moq_units),0)</f>
        <v>74.9999999999999</v>
      </c>
      <c r="L9" s="60" t="n">
        <f aca="false">IF((K11+J9+K9-SUM('PL Monthly'!J10:K10))&lt;SUM('PL Monthly'!L10:M10),MAX(SUM('PL Monthly'!L10:M10)-(K11+J9+K9-SUM('PL Monthly'!J10:K10)),a_moq_units),0)</f>
        <v>75</v>
      </c>
      <c r="M9" s="60" t="n">
        <f aca="false">IF((L11+K9+L9-SUM('PL Monthly'!K10:L10))&lt;SUM('PL Monthly'!M10:N10),MAX(SUM('PL Monthly'!M10:N10)-(L11+K9+L9-SUM('PL Monthly'!K10:L10)),a_moq_units),0)</f>
        <v>75</v>
      </c>
      <c r="N9" s="60" t="n">
        <f aca="false">IF((M11+L9+M9-SUM('PL Monthly'!L10:M10))&lt;SUM('PL Monthly'!N10:O10),MAX(SUM('PL Monthly'!N10:O10)-(M11+L9+M9-SUM('PL Monthly'!L10:M10)),a_moq_units),0)</f>
        <v>90.75</v>
      </c>
      <c r="O9" s="60" t="n">
        <f aca="false">IF((N11+M9+N9-SUM('PL Monthly'!M10:N10))&lt;SUM('PL Monthly'!O10:P10),MAX(SUM('PL Monthly'!O10:P10)-(N11+M9+N9-SUM('PL Monthly'!M10:N10)),a_moq_units),0)</f>
        <v>90.75</v>
      </c>
      <c r="P9" s="60" t="n">
        <f aca="false">IF((O11+N9+O9-SUM('PL Monthly'!N10:O10))&lt;SUM('PL Monthly'!P10:Q10),MAX(SUM('PL Monthly'!P10:Q10)-(O11+N9+O9-SUM('PL Monthly'!N10:O10)),a_moq_units),0)</f>
        <v>90.75</v>
      </c>
      <c r="Q9" s="60" t="n">
        <f aca="false">IF((P11+O9+P9-SUM('PL Monthly'!O10:P10))&lt;SUM('PL Monthly'!Q10:R10),MAX(SUM('PL Monthly'!Q10:R10)-(P11+O9+P9-SUM('PL Monthly'!O10:P10)),a_moq_units),0)</f>
        <v>90.75</v>
      </c>
      <c r="R9" s="60" t="n">
        <f aca="false">IF((Q11+P9+Q9-SUM('PL Monthly'!P10:Q10))&lt;SUM('PL Monthly'!R10:S10),MAX(SUM('PL Monthly'!R10:S10)-(Q11+P9+Q9-SUM('PL Monthly'!P10:Q10)),a_moq_units),0)</f>
        <v>90.75</v>
      </c>
      <c r="S9" s="60" t="n">
        <f aca="false">IF((R11+Q9+R9-SUM('PL Monthly'!Q10:R10))&lt;SUM('PL Monthly'!S10:T10),MAX(SUM('PL Monthly'!S10:T10)-(R11+Q9+R9-SUM('PL Monthly'!Q10:R10)),a_moq_units),0)</f>
        <v>90.75</v>
      </c>
      <c r="T9" s="60" t="n">
        <f aca="false">IF((S11+R9+S9-SUM('PL Monthly'!R10:S10))&lt;SUM('PL Monthly'!T10:U10),MAX(SUM('PL Monthly'!T10:U10)-(S11+R9+S9-SUM('PL Monthly'!R10:S10)),a_moq_units),0)</f>
        <v>90.75</v>
      </c>
      <c r="U9" s="60" t="n">
        <f aca="false">IF((T11+S9+T9-SUM('PL Monthly'!S10:T10))&lt;SUM('PL Monthly'!U10:V10),MAX(SUM('PL Monthly'!U10:V10)-(T11+S9+T9-SUM('PL Monthly'!S10:T10)),a_moq_units),0)</f>
        <v>90.75</v>
      </c>
      <c r="V9" s="60" t="n">
        <f aca="false">IF((U11+T9+U9-SUM('PL Monthly'!T10:U10))&lt;SUM('PL Monthly'!V10:W10),MAX(SUM('PL Monthly'!V10:W10)-(U11+T9+U9-SUM('PL Monthly'!T10:U10)),a_moq_units),0)</f>
        <v>90.75</v>
      </c>
      <c r="W9" s="60" t="n">
        <f aca="false">IF((V11+U9+V9-SUM('PL Monthly'!U10:V10))&lt;SUM('PL Monthly'!W10:X10),MAX(SUM('PL Monthly'!W10:X10)-(V11+U9+V9-SUM('PL Monthly'!U10:V10)),a_moq_units),0)</f>
        <v>90.75</v>
      </c>
      <c r="X9" s="60" t="n">
        <f aca="false">IF((W11+V9+W9-SUM('PL Monthly'!V10:W10))&lt;SUM('PL Monthly'!X10:Y10),MAX(SUM('PL Monthly'!X10:Y10)-(W11+V9+W9-SUM('PL Monthly'!V10:W10)),a_moq_units),0)</f>
        <v>90.75</v>
      </c>
      <c r="Y9" s="60" t="n">
        <f aca="false">IF((X11+W9+X9-SUM('PL Monthly'!W10:X10))&lt;SUM('PL Monthly'!Y10:Z10),MAX(SUM('PL Monthly'!Y10:Z10)-(X11+W9+X9-SUM('PL Monthly'!W10:X10)),a_moq_units),0)</f>
        <v>90.75</v>
      </c>
      <c r="Z9" s="60" t="n">
        <f aca="false">IF((Y11+X9+Y9-SUM('PL Monthly'!X10:Y10))&lt;SUM('PL Monthly'!Z10:AA10),MAX(SUM('PL Monthly'!Z10:AA10)-(Y11+X9+Y9-SUM('PL Monthly'!X10:Y10)),a_moq_units),0)</f>
        <v>109.8075</v>
      </c>
      <c r="AA9" s="60" t="n">
        <f aca="false">IF((Z11+Y9+Z9-SUM('PL Monthly'!Y10:Z10))&lt;SUM('PL Monthly'!AA10:AB10),MAX(SUM('PL Monthly'!AA10:AB10)-(Z11+Y9+Z9-SUM('PL Monthly'!Y10:Z10)),a_moq_units),0)</f>
        <v>109.8075</v>
      </c>
      <c r="AB9" s="60" t="n">
        <f aca="false">IF((AA11+Z9+AA9-SUM('PL Monthly'!Z10:AA10))&lt;SUM('PL Monthly'!AB10:AC10),MAX(SUM('PL Monthly'!AB10:AC10)-(AA11+Z9+AA9-SUM('PL Monthly'!Z10:AA10)),a_moq_units),0)</f>
        <v>109.8075</v>
      </c>
      <c r="AC9" s="60" t="n">
        <f aca="false">IF((AB11+AA9+AB9-SUM('PL Monthly'!AA10:AB10))&lt;SUM('PL Monthly'!AC10:AD10),MAX(SUM('PL Monthly'!AC10:AD10)-(AB11+AA9+AB9-SUM('PL Monthly'!AA10:AB10)),a_moq_units),0)</f>
        <v>109.8075</v>
      </c>
      <c r="AD9" s="60" t="n">
        <f aca="false">IF((AC11+AB9+AC9-SUM('PL Monthly'!AB10:AC10))&lt;SUM('PL Monthly'!AD10:AE10),MAX(SUM('PL Monthly'!AD10:AE10)-(AC11+AB9+AC9-SUM('PL Monthly'!AB10:AC10)),a_moq_units),0)</f>
        <v>109.8075</v>
      </c>
      <c r="AE9" s="60" t="n">
        <f aca="false">IF((AD11+AC9+AD9-SUM('PL Monthly'!AC10:AD10))&lt;SUM('PL Monthly'!AE10:AF10),MAX(SUM('PL Monthly'!AE10:AF10)-(AD11+AC9+AD9-SUM('PL Monthly'!AC10:AD10)),a_moq_units),0)</f>
        <v>109.8075</v>
      </c>
      <c r="AF9" s="60" t="n">
        <f aca="false">IF((AE11+AD9+AE9-SUM('PL Monthly'!AD10:AE10))&lt;SUM('PL Monthly'!AF10:AG10),MAX(SUM('PL Monthly'!AF10:AG10)-(AE11+AD9+AE9-SUM('PL Monthly'!AD10:AE10)),a_moq_units),0)</f>
        <v>109.8075</v>
      </c>
      <c r="AG9" s="60" t="n">
        <f aca="false">IF((AF11+AE9+AF9-SUM('PL Monthly'!AE10:AF10))&lt;SUM('PL Monthly'!AG10:AH10),MAX(SUM('PL Monthly'!AG10:AH10)-(AF11+AE9+AF9-SUM('PL Monthly'!AE10:AF10)),a_moq_units),0)</f>
        <v>109.8075</v>
      </c>
      <c r="AH9" s="60" t="n">
        <f aca="false">IF((AG11+AF9+AG9-SUM('PL Monthly'!AF10:AG10))&lt;SUM('PL Monthly'!AH10:AI10),MAX(SUM('PL Monthly'!AH10:AI10)-(AG11+AF9+AG9-SUM('PL Monthly'!AF10:AG10)),a_moq_units),0)</f>
        <v>109.8075</v>
      </c>
      <c r="AI9" s="60" t="n">
        <f aca="false">IF((AH11+AG9+AH9-SUM('PL Monthly'!AG10:AH10))&lt;SUM('PL Monthly'!AI10:AJ10),MAX(SUM('PL Monthly'!AI10:AJ10)-(AH11+AG9+AH9-SUM('PL Monthly'!AG10:AH10)),a_moq_units),0)</f>
        <v>109.8075</v>
      </c>
      <c r="AJ9" s="60" t="n">
        <f aca="false">IF((AI11+AH9+AI9-SUM('PL Monthly'!AH10:AI10))&lt;SUM('PL Monthly'!AJ10:AK10),MAX(SUM('PL Monthly'!AJ10:AK10)-(AI11+AH9+AI9-SUM('PL Monthly'!AH10:AI10)),a_moq_units),0)</f>
        <v>109.8075</v>
      </c>
      <c r="AK9" s="60" t="n">
        <f aca="false">IF((AJ11+AI9+AJ9-SUM('PL Monthly'!AI10:AJ10))&lt;SUM('PL Monthly'!AK10:AL10),MAX(SUM('PL Monthly'!AK10:AL10)-(AJ11+AI9+AJ9-SUM('PL Monthly'!AI10:AJ10)),a_moq_units),0)</f>
        <v>109.8075</v>
      </c>
      <c r="AL9" s="60" t="n">
        <f aca="false">IF((AK11+AJ9+AK9-SUM('PL Monthly'!AJ10:AK10))&lt;SUM('PL Monthly'!AL10),MAX(SUM('PL Monthly'!AL10)-(AK11+AJ9+AK9-SUM('PL Monthly'!AJ10:AK10)),a_moq_units),0)</f>
        <v>0</v>
      </c>
      <c r="AM9" s="60" t="n">
        <f aca="false">0</f>
        <v>0</v>
      </c>
      <c r="AN9" s="60" t="n">
        <f aca="false">0</f>
        <v>0</v>
      </c>
      <c r="AO9" s="1"/>
      <c r="AP9" s="1"/>
      <c r="AQ9" s="1"/>
      <c r="AR9" s="1"/>
      <c r="AS9" s="1"/>
      <c r="AT9" s="1"/>
      <c r="AU9" s="1"/>
      <c r="AV9" s="1"/>
    </row>
    <row r="10" customFormat="false" ht="15" hidden="false" customHeight="false" outlineLevel="0" collapsed="false">
      <c r="A10" s="1"/>
      <c r="B10" s="47" t="s">
        <v>541</v>
      </c>
      <c r="C10" s="60" t="n">
        <f aca="false">0</f>
        <v>0</v>
      </c>
      <c r="D10" s="60" t="n">
        <f aca="false">0</f>
        <v>0</v>
      </c>
      <c r="E10" s="60" t="n">
        <f aca="false">C9</f>
        <v>83.3333333333333</v>
      </c>
      <c r="F10" s="60" t="n">
        <f aca="false">D9</f>
        <v>0</v>
      </c>
      <c r="G10" s="60" t="n">
        <f aca="false">E9</f>
        <v>0</v>
      </c>
      <c r="H10" s="60" t="n">
        <f aca="false">F9</f>
        <v>41.6666666666667</v>
      </c>
      <c r="I10" s="60" t="n">
        <f aca="false">G9</f>
        <v>50</v>
      </c>
      <c r="J10" s="60" t="n">
        <f aca="false">H9</f>
        <v>58.3333333333333</v>
      </c>
      <c r="K10" s="60" t="n">
        <f aca="false">I9</f>
        <v>66.6666666666667</v>
      </c>
      <c r="L10" s="60" t="n">
        <f aca="false">J9</f>
        <v>75</v>
      </c>
      <c r="M10" s="60" t="n">
        <f aca="false">K9</f>
        <v>74.9999999999999</v>
      </c>
      <c r="N10" s="60" t="n">
        <f aca="false">L9</f>
        <v>75</v>
      </c>
      <c r="O10" s="60" t="n">
        <f aca="false">M9</f>
        <v>75</v>
      </c>
      <c r="P10" s="60" t="n">
        <f aca="false">N9</f>
        <v>90.75</v>
      </c>
      <c r="Q10" s="60" t="n">
        <f aca="false">O9</f>
        <v>90.75</v>
      </c>
      <c r="R10" s="60" t="n">
        <f aca="false">P9</f>
        <v>90.75</v>
      </c>
      <c r="S10" s="60" t="n">
        <f aca="false">Q9</f>
        <v>90.75</v>
      </c>
      <c r="T10" s="60" t="n">
        <f aca="false">R9</f>
        <v>90.75</v>
      </c>
      <c r="U10" s="60" t="n">
        <f aca="false">S9</f>
        <v>90.75</v>
      </c>
      <c r="V10" s="60" t="n">
        <f aca="false">T9</f>
        <v>90.75</v>
      </c>
      <c r="W10" s="60" t="n">
        <f aca="false">U9</f>
        <v>90.75</v>
      </c>
      <c r="X10" s="60" t="n">
        <f aca="false">V9</f>
        <v>90.75</v>
      </c>
      <c r="Y10" s="60" t="n">
        <f aca="false">W9</f>
        <v>90.75</v>
      </c>
      <c r="Z10" s="60" t="n">
        <f aca="false">X9</f>
        <v>90.75</v>
      </c>
      <c r="AA10" s="60" t="n">
        <f aca="false">Y9</f>
        <v>90.75</v>
      </c>
      <c r="AB10" s="60" t="n">
        <f aca="false">Z9</f>
        <v>109.8075</v>
      </c>
      <c r="AC10" s="60" t="n">
        <f aca="false">AA9</f>
        <v>109.8075</v>
      </c>
      <c r="AD10" s="60" t="n">
        <f aca="false">AB9</f>
        <v>109.8075</v>
      </c>
      <c r="AE10" s="60" t="n">
        <f aca="false">AC9</f>
        <v>109.8075</v>
      </c>
      <c r="AF10" s="60" t="n">
        <f aca="false">AD9</f>
        <v>109.8075</v>
      </c>
      <c r="AG10" s="60" t="n">
        <f aca="false">AE9</f>
        <v>109.8075</v>
      </c>
      <c r="AH10" s="60" t="n">
        <f aca="false">AF9</f>
        <v>109.8075</v>
      </c>
      <c r="AI10" s="60" t="n">
        <f aca="false">AG9</f>
        <v>109.8075</v>
      </c>
      <c r="AJ10" s="60" t="n">
        <f aca="false">AH9</f>
        <v>109.8075</v>
      </c>
      <c r="AK10" s="60" t="n">
        <f aca="false">AI9</f>
        <v>109.8075</v>
      </c>
      <c r="AL10" s="60" t="n">
        <f aca="false">AJ9</f>
        <v>109.8075</v>
      </c>
      <c r="AM10" s="60" t="n">
        <f aca="false">AK9</f>
        <v>109.8075</v>
      </c>
      <c r="AN10" s="60" t="n">
        <f aca="false">AL9</f>
        <v>0</v>
      </c>
      <c r="AO10" s="1"/>
      <c r="AP10" s="1"/>
      <c r="AQ10" s="1"/>
      <c r="AR10" s="1"/>
      <c r="AS10" s="1"/>
      <c r="AT10" s="1"/>
      <c r="AU10" s="1"/>
      <c r="AV10" s="1"/>
    </row>
    <row r="11" customFormat="false" ht="15" hidden="false" customHeight="false" outlineLevel="0" collapsed="false">
      <c r="A11" s="1"/>
      <c r="B11" s="47" t="s">
        <v>542</v>
      </c>
      <c r="C11" s="60" t="n">
        <f aca="false">C8-0</f>
        <v>0</v>
      </c>
      <c r="D11" s="60" t="n">
        <f aca="false">D8-0</f>
        <v>0</v>
      </c>
      <c r="E11" s="60" t="n">
        <f aca="false">E8-'PL Monthly'!C10</f>
        <v>75</v>
      </c>
      <c r="F11" s="60" t="n">
        <f aca="false">F8-'PL Monthly'!D10</f>
        <v>58.3333333333333</v>
      </c>
      <c r="G11" s="60" t="n">
        <f aca="false">G8-'PL Monthly'!E10</f>
        <v>33.3333333333333</v>
      </c>
      <c r="H11" s="60" t="n">
        <f aca="false">H8-'PL Monthly'!F10</f>
        <v>41.6666666666667</v>
      </c>
      <c r="I11" s="60" t="n">
        <f aca="false">I8-'PL Monthly'!G10</f>
        <v>50</v>
      </c>
      <c r="J11" s="60" t="n">
        <f aca="false">J8-'PL Monthly'!H10</f>
        <v>58.3333333333333</v>
      </c>
      <c r="K11" s="60" t="n">
        <f aca="false">K8-'PL Monthly'!I10</f>
        <v>66.6666666666667</v>
      </c>
      <c r="L11" s="60" t="n">
        <f aca="false">L8-'PL Monthly'!J10</f>
        <v>75</v>
      </c>
      <c r="M11" s="60" t="n">
        <f aca="false">M8-'PL Monthly'!K10</f>
        <v>75</v>
      </c>
      <c r="N11" s="60" t="n">
        <f aca="false">N8-'PL Monthly'!L10</f>
        <v>75</v>
      </c>
      <c r="O11" s="60" t="n">
        <f aca="false">O8-'PL Monthly'!M10</f>
        <v>75</v>
      </c>
      <c r="P11" s="60" t="n">
        <f aca="false">P8-'PL Monthly'!N10</f>
        <v>90.75</v>
      </c>
      <c r="Q11" s="60" t="n">
        <f aca="false">Q8-'PL Monthly'!O10</f>
        <v>90.75</v>
      </c>
      <c r="R11" s="60" t="n">
        <f aca="false">R8-'PL Monthly'!P10</f>
        <v>90.75</v>
      </c>
      <c r="S11" s="60" t="n">
        <f aca="false">S8-'PL Monthly'!Q10</f>
        <v>90.75</v>
      </c>
      <c r="T11" s="60" t="n">
        <f aca="false">T8-'PL Monthly'!R10</f>
        <v>90.75</v>
      </c>
      <c r="U11" s="60" t="n">
        <f aca="false">U8-'PL Monthly'!S10</f>
        <v>90.75</v>
      </c>
      <c r="V11" s="60" t="n">
        <f aca="false">V8-'PL Monthly'!T10</f>
        <v>90.75</v>
      </c>
      <c r="W11" s="60" t="n">
        <f aca="false">W8-'PL Monthly'!U10</f>
        <v>90.75</v>
      </c>
      <c r="X11" s="60" t="n">
        <f aca="false">X8-'PL Monthly'!V10</f>
        <v>90.75</v>
      </c>
      <c r="Y11" s="60" t="n">
        <f aca="false">Y8-'PL Monthly'!W10</f>
        <v>90.75</v>
      </c>
      <c r="Z11" s="60" t="n">
        <f aca="false">Z8-'PL Monthly'!X10</f>
        <v>90.75</v>
      </c>
      <c r="AA11" s="60" t="n">
        <f aca="false">AA8-'PL Monthly'!Y10</f>
        <v>90.75</v>
      </c>
      <c r="AB11" s="60" t="n">
        <f aca="false">AB8-'PL Monthly'!Z10</f>
        <v>109.8075</v>
      </c>
      <c r="AC11" s="60" t="n">
        <f aca="false">AC8-'PL Monthly'!AA10</f>
        <v>109.8075</v>
      </c>
      <c r="AD11" s="60" t="n">
        <f aca="false">AD8-'PL Monthly'!AB10</f>
        <v>109.8075</v>
      </c>
      <c r="AE11" s="60" t="n">
        <f aca="false">AE8-'PL Monthly'!AC10</f>
        <v>109.8075</v>
      </c>
      <c r="AF11" s="60" t="n">
        <f aca="false">AF8-'PL Monthly'!AD10</f>
        <v>109.8075</v>
      </c>
      <c r="AG11" s="60" t="n">
        <f aca="false">AG8-'PL Monthly'!AE10</f>
        <v>109.8075</v>
      </c>
      <c r="AH11" s="60" t="n">
        <f aca="false">AH8-'PL Monthly'!AF10</f>
        <v>109.8075</v>
      </c>
      <c r="AI11" s="60" t="n">
        <f aca="false">AI8-'PL Monthly'!AG10</f>
        <v>109.8075</v>
      </c>
      <c r="AJ11" s="60" t="n">
        <f aca="false">AJ8-'PL Monthly'!AH10</f>
        <v>109.8075</v>
      </c>
      <c r="AK11" s="60" t="n">
        <f aca="false">AK8-'PL Monthly'!AI10</f>
        <v>109.8075</v>
      </c>
      <c r="AL11" s="60" t="n">
        <f aca="false">AL8-'PL Monthly'!AJ10</f>
        <v>109.8075</v>
      </c>
      <c r="AM11" s="60" t="n">
        <f aca="false">AM8-'PL Monthly'!AK10</f>
        <v>109.8075</v>
      </c>
      <c r="AN11" s="60" t="n">
        <f aca="false">AN8-'PL Monthly'!AL10</f>
        <v>0</v>
      </c>
      <c r="AO11" s="1"/>
      <c r="AP11" s="1"/>
      <c r="AQ11" s="1"/>
      <c r="AR11" s="1"/>
      <c r="AS11" s="1"/>
      <c r="AT11" s="1"/>
      <c r="AU11" s="1"/>
      <c r="AV11" s="1"/>
    </row>
    <row r="12" customFormat="false" ht="15" hidden="true" customHeight="false" outlineLevel="0" collapsed="false">
      <c r="A12" s="1"/>
      <c r="B12" s="47" t="s">
        <v>543</v>
      </c>
      <c r="C12" s="62" t="n">
        <f aca="false">0</f>
        <v>0</v>
      </c>
      <c r="D12" s="62" t="n">
        <f aca="false">0</f>
        <v>0</v>
      </c>
      <c r="E12" s="62" t="n">
        <f aca="false">'PL Monthly'!C12*(1-a_return_rate)+'PL Monthly'!C14+'PL Monthly'!C15+(1+a_jct_rate_standard)*('PL Monthly'!C23+'PL Monthly'!C24+'PL Monthly'!C25+'PL Monthly'!C26+'PL Monthly'!C27)</f>
        <v>18925.5412</v>
      </c>
      <c r="F12" s="62" t="n">
        <f aca="false">'PL Monthly'!D12*(1-a_return_rate)+'PL Monthly'!D14+'PL Monthly'!D15+(1+a_jct_rate_standard)*('PL Monthly'!D23+'PL Monthly'!D24+'PL Monthly'!D25+'PL Monthly'!D26+'PL Monthly'!D27)</f>
        <v>38188.2368</v>
      </c>
      <c r="G12" s="62" t="n">
        <f aca="false">'PL Monthly'!E12*(1-a_return_rate)+'PL Monthly'!E14+'PL Monthly'!E15+(1+a_jct_rate_standard)*('PL Monthly'!E23+'PL Monthly'!E24+'PL Monthly'!E25+'PL Monthly'!E26+'PL Monthly'!E27)</f>
        <v>57350.5761</v>
      </c>
      <c r="H12" s="62" t="n">
        <f aca="false">'PL Monthly'!F12*(1-a_return_rate)+'PL Monthly'!F14+'PL Monthly'!F15+(1+a_jct_rate_standard)*('PL Monthly'!F23+'PL Monthly'!F24+'PL Monthly'!F25+'PL Monthly'!F26+'PL Monthly'!F27)</f>
        <v>83485.5914</v>
      </c>
      <c r="I12" s="62" t="n">
        <f aca="false">'PL Monthly'!G12*(1-a_return_rate)+'PL Monthly'!G14+'PL Monthly'!G15+(1+a_jct_rate_standard)*('PL Monthly'!G23+'PL Monthly'!G24+'PL Monthly'!G25+'PL Monthly'!G26+'PL Monthly'!G27)</f>
        <v>104370.6067</v>
      </c>
      <c r="J12" s="62" t="n">
        <f aca="false">'PL Monthly'!H12*(1-a_return_rate)+'PL Monthly'!H14+'PL Monthly'!H15+(1+a_jct_rate_standard)*('PL Monthly'!H23+'PL Monthly'!H24+'PL Monthly'!H25+'PL Monthly'!H26+'PL Monthly'!H27)</f>
        <v>125493.816</v>
      </c>
      <c r="K12" s="62" t="n">
        <f aca="false">'PL Monthly'!I12*(1-a_return_rate)+'PL Monthly'!I14+'PL Monthly'!I15+(1+a_jct_rate_standard)*('PL Monthly'!I23+'PL Monthly'!I24+'PL Monthly'!I25+'PL Monthly'!I26+'PL Monthly'!I27)</f>
        <v>146414.5604</v>
      </c>
      <c r="L12" s="62" t="n">
        <f aca="false">'PL Monthly'!J12*(1-a_return_rate)+'PL Monthly'!J14+'PL Monthly'!J15+(1+a_jct_rate_standard)*('PL Monthly'!J23+'PL Monthly'!J24+'PL Monthly'!J25+'PL Monthly'!J26+'PL Monthly'!J27)</f>
        <v>167335.3048</v>
      </c>
      <c r="M12" s="62" t="n">
        <f aca="false">'PL Monthly'!K12*(1-a_return_rate)+'PL Monthly'!K14+'PL Monthly'!K15+(1+a_jct_rate_standard)*('PL Monthly'!K23+'PL Monthly'!K24+'PL Monthly'!K25+'PL Monthly'!K26+'PL Monthly'!K27)</f>
        <v>188286.6996</v>
      </c>
      <c r="N12" s="62" t="n">
        <f aca="false">'PL Monthly'!L12*(1-a_return_rate)+'PL Monthly'!L14+'PL Monthly'!L15+(1+a_jct_rate_standard)*('PL Monthly'!L23+'PL Monthly'!L24+'PL Monthly'!L25+'PL Monthly'!L26+'PL Monthly'!L27)</f>
        <v>188286.6996</v>
      </c>
      <c r="O12" s="62" t="n">
        <f aca="false">'PL Monthly'!M12*(1-a_return_rate)+'PL Monthly'!M14+'PL Monthly'!M15+(1+a_jct_rate_standard)*('PL Monthly'!M23+'PL Monthly'!M24+'PL Monthly'!M25+'PL Monthly'!M26+'PL Monthly'!M27)</f>
        <v>188286.6996</v>
      </c>
      <c r="P12" s="62" t="n">
        <f aca="false">'PL Monthly'!N12*(1-a_return_rate)+'PL Monthly'!N14+'PL Monthly'!N15+(1+a_jct_rate_standard)*('PL Monthly'!N23+'PL Monthly'!N24+'PL Monthly'!N25+'PL Monthly'!N26+'PL Monthly'!N27)</f>
        <v>188228.770344</v>
      </c>
      <c r="Q12" s="62" t="n">
        <f aca="false">'PL Monthly'!O12*(1-a_return_rate)+'PL Monthly'!O14+'PL Monthly'!O15+(1+a_jct_rate_standard)*('PL Monthly'!O23+'PL Monthly'!O24+'PL Monthly'!O25+'PL Monthly'!O26+'PL Monthly'!O27)</f>
        <v>227826.906516</v>
      </c>
      <c r="R12" s="62" t="n">
        <f aca="false">'PL Monthly'!P12*(1-a_return_rate)+'PL Monthly'!P14+'PL Monthly'!P15+(1+a_jct_rate_standard)*('PL Monthly'!P23+'PL Monthly'!P24+'PL Monthly'!P25+'PL Monthly'!P26+'PL Monthly'!P27)</f>
        <v>227826.906516</v>
      </c>
      <c r="S12" s="62" t="n">
        <f aca="false">'PL Monthly'!Q12*(1-a_return_rate)+'PL Monthly'!Q14+'PL Monthly'!Q15+(1+a_jct_rate_standard)*('PL Monthly'!Q23+'PL Monthly'!Q24+'PL Monthly'!Q25+'PL Monthly'!Q26+'PL Monthly'!Q27)</f>
        <v>227437.816617</v>
      </c>
      <c r="T12" s="62" t="n">
        <f aca="false">'PL Monthly'!R12*(1-a_return_rate)+'PL Monthly'!R14+'PL Monthly'!R15+(1+a_jct_rate_standard)*('PL Monthly'!R23+'PL Monthly'!R24+'PL Monthly'!R25+'PL Monthly'!R26+'PL Monthly'!R27)</f>
        <v>227437.816617</v>
      </c>
      <c r="U12" s="62" t="n">
        <f aca="false">'PL Monthly'!S12*(1-a_return_rate)+'PL Monthly'!S14+'PL Monthly'!S15+(1+a_jct_rate_standard)*('PL Monthly'!S23+'PL Monthly'!S24+'PL Monthly'!S25+'PL Monthly'!S26+'PL Monthly'!S27)</f>
        <v>227437.816617</v>
      </c>
      <c r="V12" s="62" t="n">
        <f aca="false">'PL Monthly'!T12*(1-a_return_rate)+'PL Monthly'!T14+'PL Monthly'!T15+(1+a_jct_rate_standard)*('PL Monthly'!T23+'PL Monthly'!T24+'PL Monthly'!T25+'PL Monthly'!T26+'PL Monthly'!T27)</f>
        <v>227826.906516</v>
      </c>
      <c r="W12" s="62" t="n">
        <f aca="false">'PL Monthly'!U12*(1-a_return_rate)+'PL Monthly'!U14+'PL Monthly'!U15+(1+a_jct_rate_standard)*('PL Monthly'!U23+'PL Monthly'!U24+'PL Monthly'!U25+'PL Monthly'!U26+'PL Monthly'!U27)</f>
        <v>227826.906516</v>
      </c>
      <c r="X12" s="62" t="n">
        <f aca="false">'PL Monthly'!V12*(1-a_return_rate)+'PL Monthly'!V14+'PL Monthly'!V15+(1+a_jct_rate_standard)*('PL Monthly'!V23+'PL Monthly'!V24+'PL Monthly'!V25+'PL Monthly'!V26+'PL Monthly'!V27)</f>
        <v>227826.906516</v>
      </c>
      <c r="Y12" s="62" t="n">
        <f aca="false">'PL Monthly'!W12*(1-a_return_rate)+'PL Monthly'!W14+'PL Monthly'!W15+(1+a_jct_rate_standard)*('PL Monthly'!W23+'PL Monthly'!W24+'PL Monthly'!W25+'PL Monthly'!W26+'PL Monthly'!W27)</f>
        <v>227826.906516</v>
      </c>
      <c r="Z12" s="62" t="n">
        <f aca="false">'PL Monthly'!X12*(1-a_return_rate)+'PL Monthly'!X14+'PL Monthly'!X15+(1+a_jct_rate_standard)*('PL Monthly'!X23+'PL Monthly'!X24+'PL Monthly'!X25+'PL Monthly'!X26+'PL Monthly'!X27)</f>
        <v>227826.906516</v>
      </c>
      <c r="AA12" s="62" t="n">
        <f aca="false">'PL Monthly'!Y12*(1-a_return_rate)+'PL Monthly'!Y14+'PL Monthly'!Y15+(1+a_jct_rate_standard)*('PL Monthly'!Y23+'PL Monthly'!Y24+'PL Monthly'!Y25+'PL Monthly'!Y26+'PL Monthly'!Y27)</f>
        <v>227826.906516</v>
      </c>
      <c r="AB12" s="62" t="n">
        <f aca="false">'PL Monthly'!Z12*(1-a_return_rate)+'PL Monthly'!Z14+'PL Monthly'!Z15+(1+a_jct_rate_standard)*('PL Monthly'!Z23+'PL Monthly'!Z24+'PL Monthly'!Z25+'PL Monthly'!Z26+'PL Monthly'!Z27)</f>
        <v>227756.81211624</v>
      </c>
      <c r="AC12" s="62" t="n">
        <f aca="false">'PL Monthly'!AA12*(1-a_return_rate)+'PL Monthly'!AA14+'PL Monthly'!AA15+(1+a_jct_rate_standard)*('PL Monthly'!AA23+'PL Monthly'!AA24+'PL Monthly'!AA25+'PL Monthly'!AA26+'PL Monthly'!AA27)</f>
        <v>275670.55688436</v>
      </c>
      <c r="AD12" s="62" t="n">
        <f aca="false">'PL Monthly'!AB12*(1-a_return_rate)+'PL Monthly'!AB14+'PL Monthly'!AB15+(1+a_jct_rate_standard)*('PL Monthly'!AB23+'PL Monthly'!AB24+'PL Monthly'!AB25+'PL Monthly'!AB26+'PL Monthly'!AB27)</f>
        <v>275670.55688436</v>
      </c>
      <c r="AE12" s="62" t="n">
        <f aca="false">'PL Monthly'!AC12*(1-a_return_rate)+'PL Monthly'!AC14+'PL Monthly'!AC15+(1+a_jct_rate_standard)*('PL Monthly'!AC23+'PL Monthly'!AC24+'PL Monthly'!AC25+'PL Monthly'!AC26+'PL Monthly'!AC27)</f>
        <v>275199.75810657</v>
      </c>
      <c r="AF12" s="62" t="n">
        <f aca="false">'PL Monthly'!AD12*(1-a_return_rate)+'PL Monthly'!AD14+'PL Monthly'!AD15+(1+a_jct_rate_standard)*('PL Monthly'!AD23+'PL Monthly'!AD24+'PL Monthly'!AD25+'PL Monthly'!AD26+'PL Monthly'!AD27)</f>
        <v>275199.75810657</v>
      </c>
      <c r="AG12" s="62" t="n">
        <f aca="false">'PL Monthly'!AE12*(1-a_return_rate)+'PL Monthly'!AE14+'PL Monthly'!AE15+(1+a_jct_rate_standard)*('PL Monthly'!AE23+'PL Monthly'!AE24+'PL Monthly'!AE25+'PL Monthly'!AE26+'PL Monthly'!AE27)</f>
        <v>275199.75810657</v>
      </c>
      <c r="AH12" s="62" t="n">
        <f aca="false">'PL Monthly'!AF12*(1-a_return_rate)+'PL Monthly'!AF14+'PL Monthly'!AF15+(1+a_jct_rate_standard)*('PL Monthly'!AF23+'PL Monthly'!AF24+'PL Monthly'!AF25+'PL Monthly'!AF26+'PL Monthly'!AF27)</f>
        <v>275670.55688436</v>
      </c>
      <c r="AI12" s="62" t="n">
        <f aca="false">'PL Monthly'!AG12*(1-a_return_rate)+'PL Monthly'!AG14+'PL Monthly'!AG15+(1+a_jct_rate_standard)*('PL Monthly'!AG23+'PL Monthly'!AG24+'PL Monthly'!AG25+'PL Monthly'!AG26+'PL Monthly'!AG27)</f>
        <v>275670.55688436</v>
      </c>
      <c r="AJ12" s="62" t="n">
        <f aca="false">'PL Monthly'!AH12*(1-a_return_rate)+'PL Monthly'!AH14+'PL Monthly'!AH15+(1+a_jct_rate_standard)*('PL Monthly'!AH23+'PL Monthly'!AH24+'PL Monthly'!AH25+'PL Monthly'!AH26+'PL Monthly'!AH27)</f>
        <v>275670.55688436</v>
      </c>
      <c r="AK12" s="62" t="n">
        <f aca="false">'PL Monthly'!AI12*(1-a_return_rate)+'PL Monthly'!AI14+'PL Monthly'!AI15+(1+a_jct_rate_standard)*('PL Monthly'!AI23+'PL Monthly'!AI24+'PL Monthly'!AI25+'PL Monthly'!AI26+'PL Monthly'!AI27)</f>
        <v>275670.55688436</v>
      </c>
      <c r="AL12" s="62" t="n">
        <f aca="false">'PL Monthly'!AJ12*(1-a_return_rate)+'PL Monthly'!AJ14+'PL Monthly'!AJ15+(1+a_jct_rate_standard)*('PL Monthly'!AJ23+'PL Monthly'!AJ24+'PL Monthly'!AJ25+'PL Monthly'!AJ26+'PL Monthly'!AJ27)</f>
        <v>275670.55688436</v>
      </c>
      <c r="AM12" s="62" t="n">
        <f aca="false">'PL Monthly'!AK12*(1-a_return_rate)+'PL Monthly'!AK14+'PL Monthly'!AK15+(1+a_jct_rate_standard)*('PL Monthly'!AK23+'PL Monthly'!AK24+'PL Monthly'!AK25+'PL Monthly'!AK26+'PL Monthly'!AK27)</f>
        <v>275670.55688436</v>
      </c>
      <c r="AN12" s="62" t="n">
        <f aca="false">'PL Monthly'!AL12*(1-a_return_rate)+'PL Monthly'!AL14+'PL Monthly'!AL15+(1+a_jct_rate_standard)*('PL Monthly'!AL23+'PL Monthly'!AL24+'PL Monthly'!AL25+'PL Monthly'!AL26+'PL Monthly'!AL27)</f>
        <v>276074.43414012</v>
      </c>
      <c r="AO12" s="1"/>
      <c r="AP12" s="1"/>
      <c r="AQ12" s="1"/>
      <c r="AR12" s="1"/>
      <c r="AS12" s="1"/>
      <c r="AT12" s="1"/>
      <c r="AU12" s="1"/>
      <c r="AV12" s="1"/>
    </row>
    <row r="13" customFormat="false" ht="15" hidden="true" customHeight="false" outlineLevel="0" collapsed="false">
      <c r="A13" s="1"/>
      <c r="B13" s="47" t="s">
        <v>544</v>
      </c>
      <c r="C13" s="62" t="n">
        <f aca="false">0</f>
        <v>0</v>
      </c>
      <c r="D13" s="62" t="n">
        <f aca="false">0</f>
        <v>0</v>
      </c>
      <c r="E13" s="62" t="n">
        <f aca="false">-'PL Monthly'!C13</f>
        <v>2651.51515151515</v>
      </c>
      <c r="F13" s="62" t="n">
        <f aca="false">-'PL Monthly'!D13</f>
        <v>5303.0303030303</v>
      </c>
      <c r="G13" s="62" t="n">
        <f aca="false">-'PL Monthly'!E13</f>
        <v>7954.54545454545</v>
      </c>
      <c r="H13" s="62" t="n">
        <f aca="false">-'PL Monthly'!F13</f>
        <v>10606.0606060606</v>
      </c>
      <c r="I13" s="62" t="n">
        <f aca="false">-'PL Monthly'!G13</f>
        <v>13257.5757575758</v>
      </c>
      <c r="J13" s="62" t="n">
        <f aca="false">-'PL Monthly'!H13</f>
        <v>15909.0909090909</v>
      </c>
      <c r="K13" s="62" t="n">
        <f aca="false">-'PL Monthly'!I13</f>
        <v>18560.6060606061</v>
      </c>
      <c r="L13" s="62" t="n">
        <f aca="false">-'PL Monthly'!J13</f>
        <v>21212.1212121212</v>
      </c>
      <c r="M13" s="62" t="n">
        <f aca="false">-'PL Monthly'!K13</f>
        <v>23863.6363636364</v>
      </c>
      <c r="N13" s="62" t="n">
        <f aca="false">-'PL Monthly'!L13</f>
        <v>23863.6363636364</v>
      </c>
      <c r="O13" s="62" t="n">
        <f aca="false">-'PL Monthly'!M13</f>
        <v>23863.6363636364</v>
      </c>
      <c r="P13" s="62" t="n">
        <f aca="false">-'PL Monthly'!N13</f>
        <v>23863.6363636364</v>
      </c>
      <c r="Q13" s="62" t="n">
        <f aca="false">-'PL Monthly'!O13</f>
        <v>28875</v>
      </c>
      <c r="R13" s="62" t="n">
        <f aca="false">-'PL Monthly'!P13</f>
        <v>28875</v>
      </c>
      <c r="S13" s="62" t="n">
        <f aca="false">-'PL Monthly'!Q13</f>
        <v>28875</v>
      </c>
      <c r="T13" s="62" t="n">
        <f aca="false">-'PL Monthly'!R13</f>
        <v>28875</v>
      </c>
      <c r="U13" s="62" t="n">
        <f aca="false">-'PL Monthly'!S13</f>
        <v>28875</v>
      </c>
      <c r="V13" s="62" t="n">
        <f aca="false">-'PL Monthly'!T13</f>
        <v>28875</v>
      </c>
      <c r="W13" s="62" t="n">
        <f aca="false">-'PL Monthly'!U13</f>
        <v>28875</v>
      </c>
      <c r="X13" s="62" t="n">
        <f aca="false">-'PL Monthly'!V13</f>
        <v>28875</v>
      </c>
      <c r="Y13" s="62" t="n">
        <f aca="false">-'PL Monthly'!W13</f>
        <v>28875</v>
      </c>
      <c r="Z13" s="62" t="n">
        <f aca="false">-'PL Monthly'!X13</f>
        <v>28875</v>
      </c>
      <c r="AA13" s="62" t="n">
        <f aca="false">-'PL Monthly'!Y13</f>
        <v>28875</v>
      </c>
      <c r="AB13" s="62" t="n">
        <f aca="false">-'PL Monthly'!Z13</f>
        <v>28875</v>
      </c>
      <c r="AC13" s="62" t="n">
        <f aca="false">-'PL Monthly'!AA13</f>
        <v>34938.75</v>
      </c>
      <c r="AD13" s="62" t="n">
        <f aca="false">-'PL Monthly'!AB13</f>
        <v>34938.75</v>
      </c>
      <c r="AE13" s="62" t="n">
        <f aca="false">-'PL Monthly'!AC13</f>
        <v>34938.75</v>
      </c>
      <c r="AF13" s="62" t="n">
        <f aca="false">-'PL Monthly'!AD13</f>
        <v>34938.75</v>
      </c>
      <c r="AG13" s="62" t="n">
        <f aca="false">-'PL Monthly'!AE13</f>
        <v>34938.75</v>
      </c>
      <c r="AH13" s="62" t="n">
        <f aca="false">-'PL Monthly'!AF13</f>
        <v>34938.75</v>
      </c>
      <c r="AI13" s="62" t="n">
        <f aca="false">-'PL Monthly'!AG13</f>
        <v>34938.75</v>
      </c>
      <c r="AJ13" s="62" t="n">
        <f aca="false">-'PL Monthly'!AH13</f>
        <v>34938.75</v>
      </c>
      <c r="AK13" s="62" t="n">
        <f aca="false">-'PL Monthly'!AI13</f>
        <v>34938.75</v>
      </c>
      <c r="AL13" s="62" t="n">
        <f aca="false">-'PL Monthly'!AJ13</f>
        <v>34938.75</v>
      </c>
      <c r="AM13" s="62" t="n">
        <f aca="false">-'PL Monthly'!AK13</f>
        <v>34938.75</v>
      </c>
      <c r="AN13" s="62" t="n">
        <f aca="false">-'PL Monthly'!AL13</f>
        <v>34938.75</v>
      </c>
      <c r="AO13" s="1"/>
      <c r="AP13" s="1"/>
      <c r="AQ13" s="1"/>
      <c r="AR13" s="1"/>
      <c r="AS13" s="1"/>
      <c r="AT13" s="1"/>
      <c r="AU13" s="1"/>
      <c r="AV13" s="1"/>
    </row>
    <row r="14" customFormat="false" ht="15" hidden="true" customHeight="false" outlineLevel="0" collapsed="false">
      <c r="A14" s="1"/>
      <c r="B14" s="47" t="s">
        <v>545</v>
      </c>
      <c r="C14" s="62" t="n">
        <f aca="false">a_jct_rate_output*(a_prepay_order_pct*C9+(1-a_prepay_order_pct)*0)*a_unit_cogs_jpy/a_cur_div*a_supplier_invoice_credit_rate+a_jct_rate_standard*C10*(a_logistics_jpy_per_unit+a_inspection_jpy_per_unit)/a_cur_div+0</f>
        <v>6562.5</v>
      </c>
      <c r="D14" s="62" t="n">
        <f aca="false">a_jct_rate_output*(a_prepay_order_pct*D9+(1-a_prepay_order_pct)*0)*a_unit_cogs_jpy/a_cur_div*a_supplier_invoice_credit_rate+a_jct_rate_standard*D10*(a_logistics_jpy_per_unit+a_inspection_jpy_per_unit)/a_cur_div+0</f>
        <v>0</v>
      </c>
      <c r="E14" s="62" t="n">
        <f aca="false">a_jct_rate_output*(a_prepay_order_pct*E9+(1-a_prepay_order_pct)*C9)*a_unit_cogs_jpy/a_cur_div*a_supplier_invoice_credit_rate+a_jct_rate_standard*E10*(a_logistics_jpy_per_unit+a_inspection_jpy_per_unit)/a_cur_div+a_jct_rate_standard*(-('PL Monthly'!C23+'PL Monthly'!C24+'PL Monthly'!C25+'PL Monthly'!C26+'PL Monthly'!C27))</f>
        <v>7618.51140606061</v>
      </c>
      <c r="F14" s="62" t="n">
        <f aca="false">a_jct_rate_output*(a_prepay_order_pct*F9+(1-a_prepay_order_pct)*D9)*a_unit_cogs_jpy/a_cur_div*a_supplier_invoice_credit_rate+a_jct_rate_standard*F10*(a_logistics_jpy_per_unit+a_inspection_jpy_per_unit)/a_cur_div+a_jct_rate_standard*(-('PL Monthly'!D23+'PL Monthly'!D24+'PL Monthly'!D25+'PL Monthly'!D26+'PL Monthly'!D27))</f>
        <v>4529.28907878788</v>
      </c>
      <c r="G14" s="62" t="n">
        <f aca="false">a_jct_rate_output*(a_prepay_order_pct*G9+(1-a_prepay_order_pct)*E9)*a_unit_cogs_jpy/a_cur_div*a_supplier_invoice_credit_rate+a_jct_rate_standard*G10*(a_logistics_jpy_per_unit+a_inspection_jpy_per_unit)/a_cur_div+a_jct_rate_standard*(-('PL Monthly'!E23+'PL Monthly'!E24+'PL Monthly'!E25+'PL Monthly'!E26+'PL Monthly'!E27))</f>
        <v>5803.35671818182</v>
      </c>
      <c r="H14" s="62" t="n">
        <f aca="false">a_jct_rate_output*(a_prepay_order_pct*H9+(1-a_prepay_order_pct)*F9)*a_unit_cogs_jpy/a_cur_div*a_supplier_invoice_credit_rate+a_jct_rate_standard*H10*(a_logistics_jpy_per_unit+a_inspection_jpy_per_unit)/a_cur_div+a_jct_rate_standard*(-('PL Monthly'!F23+'PL Monthly'!F24+'PL Monthly'!F25+'PL Monthly'!F26+'PL Monthly'!F27))</f>
        <v>10569.4916909091</v>
      </c>
      <c r="I14" s="62" t="n">
        <f aca="false">a_jct_rate_output*(a_prepay_order_pct*I9+(1-a_prepay_order_pct)*G9)*a_unit_cogs_jpy/a_cur_div*a_supplier_invoice_credit_rate+a_jct_rate_standard*I10*(a_logistics_jpy_per_unit+a_inspection_jpy_per_unit)/a_cur_div+a_jct_rate_standard*(-('PL Monthly'!G23+'PL Monthly'!G24+'PL Monthly'!G25+'PL Monthly'!G26+'PL Monthly'!G27))</f>
        <v>12543.9599969697</v>
      </c>
      <c r="J14" s="62" t="n">
        <f aca="false">a_jct_rate_output*(a_prepay_order_pct*J9+(1-a_prepay_order_pct)*H9)*a_unit_cogs_jpy/a_cur_div*a_supplier_invoice_credit_rate+a_jct_rate_standard*J10*(a_logistics_jpy_per_unit+a_inspection_jpy_per_unit)/a_cur_div+a_jct_rate_standard*(-('PL Monthly'!H23+'PL Monthly'!H24+'PL Monthly'!H25+'PL Monthly'!H26+'PL Monthly'!H27))</f>
        <v>14496.7743030303</v>
      </c>
      <c r="K14" s="62" t="n">
        <f aca="false">a_jct_rate_output*(a_prepay_order_pct*K9+(1-a_prepay_order_pct)*I9)*a_unit_cogs_jpy/a_cur_div*a_supplier_invoice_credit_rate+a_jct_rate_standard*K10*(a_logistics_jpy_per_unit+a_inspection_jpy_per_unit)/a_cur_div+a_jct_rate_standard*(-('PL Monthly'!I23+'PL Monthly'!I24+'PL Monthly'!I25+'PL Monthly'!I26+'PL Monthly'!I27))</f>
        <v>15811.7445090909</v>
      </c>
      <c r="L14" s="62" t="n">
        <f aca="false">a_jct_rate_output*(a_prepay_order_pct*L9+(1-a_prepay_order_pct)*J9)*a_unit_cogs_jpy/a_cur_div*a_supplier_invoice_credit_rate+a_jct_rate_standard*L10*(a_logistics_jpy_per_unit+a_inspection_jpy_per_unit)/a_cur_div+a_jct_rate_standard*(-('PL Monthly'!J23+'PL Monthly'!J24+'PL Monthly'!J25+'PL Monthly'!J26+'PL Monthly'!J27))</f>
        <v>17126.7147151515</v>
      </c>
      <c r="M14" s="62" t="n">
        <f aca="false">a_jct_rate_output*(a_prepay_order_pct*M9+(1-a_prepay_order_pct)*K9)*a_unit_cogs_jpy/a_cur_div*a_supplier_invoice_credit_rate+a_jct_rate_standard*M10*(a_logistics_jpy_per_unit+a_inspection_jpy_per_unit)/a_cur_div+a_jct_rate_standard*(-('PL Monthly'!K23+'PL Monthly'!K24+'PL Monthly'!K25+'PL Monthly'!K26+'PL Monthly'!K27))</f>
        <v>17740.9818545454</v>
      </c>
      <c r="N14" s="62" t="n">
        <f aca="false">a_jct_rate_output*(a_prepay_order_pct*N9+(1-a_prepay_order_pct)*L9)*a_unit_cogs_jpy/a_cur_div*a_supplier_invoice_credit_rate+a_jct_rate_standard*N10*(a_logistics_jpy_per_unit+a_inspection_jpy_per_unit)/a_cur_div+a_jct_rate_standard*(-('PL Monthly'!L23+'PL Monthly'!L24+'PL Monthly'!L25+'PL Monthly'!L26+'PL Monthly'!L27))</f>
        <v>18981.2943545455</v>
      </c>
      <c r="O14" s="62" t="n">
        <f aca="false">a_jct_rate_output*(a_prepay_order_pct*O9+(1-a_prepay_order_pct)*M9)*a_unit_cogs_jpy/a_cur_div*a_supplier_invoice_credit_rate+a_jct_rate_standard*O10*(a_logistics_jpy_per_unit+a_inspection_jpy_per_unit)/a_cur_div+a_jct_rate_standard*(-('PL Monthly'!M23+'PL Monthly'!M24+'PL Monthly'!M25+'PL Monthly'!M26+'PL Monthly'!M27))</f>
        <v>18981.2943545455</v>
      </c>
      <c r="P14" s="62" t="n">
        <f aca="false">a_jct_rate_output*(a_prepay_order_pct*P9+(1-a_prepay_order_pct)*N9)*a_unit_cogs_jpy/a_cur_div*a_supplier_invoice_credit_rate+a_jct_rate_standard*P10*(a_logistics_jpy_per_unit+a_inspection_jpy_per_unit)/a_cur_div+a_jct_rate_standard*(-('PL Monthly'!N23+'PL Monthly'!N24+'PL Monthly'!N25+'PL Monthly'!N26+'PL Monthly'!N27))</f>
        <v>20305.6231505455</v>
      </c>
      <c r="Q14" s="62" t="n">
        <f aca="false">a_jct_rate_output*(a_prepay_order_pct*Q9+(1-a_prepay_order_pct)*O9)*a_unit_cogs_jpy/a_cur_div*a_supplier_invoice_credit_rate+a_jct_rate_standard*Q10*(a_logistics_jpy_per_unit+a_inspection_jpy_per_unit)/a_cur_div+a_jct_rate_standard*(-('PL Monthly'!O23+'PL Monthly'!O24+'PL Monthly'!O25+'PL Monthly'!O26+'PL Monthly'!O27))</f>
        <v>21466.588044</v>
      </c>
      <c r="R14" s="62" t="n">
        <f aca="false">a_jct_rate_output*(a_prepay_order_pct*R9+(1-a_prepay_order_pct)*P9)*a_unit_cogs_jpy/a_cur_div*a_supplier_invoice_credit_rate+a_jct_rate_standard*R10*(a_logistics_jpy_per_unit+a_inspection_jpy_per_unit)/a_cur_div+a_jct_rate_standard*(-('PL Monthly'!P23+'PL Monthly'!P24+'PL Monthly'!P25+'PL Monthly'!P26+'PL Monthly'!P27))</f>
        <v>21466.588044</v>
      </c>
      <c r="S14" s="62" t="n">
        <f aca="false">a_jct_rate_output*(a_prepay_order_pct*S9+(1-a_prepay_order_pct)*Q9)*a_unit_cogs_jpy/a_cur_div*a_supplier_invoice_credit_rate+a_jct_rate_standard*S10*(a_logistics_jpy_per_unit+a_inspection_jpy_per_unit)/a_cur_div+a_jct_rate_standard*(-('PL Monthly'!Q23+'PL Monthly'!Q24+'PL Monthly'!Q25+'PL Monthly'!Q26+'PL Monthly'!Q27))</f>
        <v>21501.959853</v>
      </c>
      <c r="T14" s="62" t="n">
        <f aca="false">a_jct_rate_output*(a_prepay_order_pct*T9+(1-a_prepay_order_pct)*R9)*a_unit_cogs_jpy/a_cur_div*a_supplier_invoice_credit_rate+a_jct_rate_standard*T10*(a_logistics_jpy_per_unit+a_inspection_jpy_per_unit)/a_cur_div+a_jct_rate_standard*(-('PL Monthly'!R23+'PL Monthly'!R24+'PL Monthly'!R25+'PL Monthly'!R26+'PL Monthly'!R27))</f>
        <v>21501.959853</v>
      </c>
      <c r="U14" s="62" t="n">
        <f aca="false">a_jct_rate_output*(a_prepay_order_pct*U9+(1-a_prepay_order_pct)*S9)*a_unit_cogs_jpy/a_cur_div*a_supplier_invoice_credit_rate+a_jct_rate_standard*U10*(a_logistics_jpy_per_unit+a_inspection_jpy_per_unit)/a_cur_div+a_jct_rate_standard*(-('PL Monthly'!S23+'PL Monthly'!S24+'PL Monthly'!S25+'PL Monthly'!S26+'PL Monthly'!S27))</f>
        <v>21501.959853</v>
      </c>
      <c r="V14" s="62" t="n">
        <f aca="false">a_jct_rate_output*(a_prepay_order_pct*V9+(1-a_prepay_order_pct)*T9)*a_unit_cogs_jpy/a_cur_div*a_supplier_invoice_credit_rate+a_jct_rate_standard*V10*(a_logistics_jpy_per_unit+a_inspection_jpy_per_unit)/a_cur_div+a_jct_rate_standard*(-('PL Monthly'!T23+'PL Monthly'!T24+'PL Monthly'!T25+'PL Monthly'!T26+'PL Monthly'!T27))</f>
        <v>21466.588044</v>
      </c>
      <c r="W14" s="62" t="n">
        <f aca="false">a_jct_rate_output*(a_prepay_order_pct*W9+(1-a_prepay_order_pct)*U9)*a_unit_cogs_jpy/a_cur_div*a_supplier_invoice_credit_rate+a_jct_rate_standard*W10*(a_logistics_jpy_per_unit+a_inspection_jpy_per_unit)/a_cur_div+a_jct_rate_standard*(-('PL Monthly'!U23+'PL Monthly'!U24+'PL Monthly'!U25+'PL Monthly'!U26+'PL Monthly'!U27))</f>
        <v>21466.588044</v>
      </c>
      <c r="X14" s="62" t="n">
        <f aca="false">a_jct_rate_output*(a_prepay_order_pct*X9+(1-a_prepay_order_pct)*V9)*a_unit_cogs_jpy/a_cur_div*a_supplier_invoice_credit_rate+a_jct_rate_standard*X10*(a_logistics_jpy_per_unit+a_inspection_jpy_per_unit)/a_cur_div+a_jct_rate_standard*(-('PL Monthly'!V23+'PL Monthly'!V24+'PL Monthly'!V25+'PL Monthly'!V26+'PL Monthly'!V27))</f>
        <v>21466.588044</v>
      </c>
      <c r="Y14" s="62" t="n">
        <f aca="false">a_jct_rate_output*(a_prepay_order_pct*Y9+(1-a_prepay_order_pct)*W9)*a_unit_cogs_jpy/a_cur_div*a_supplier_invoice_credit_rate+a_jct_rate_standard*Y10*(a_logistics_jpy_per_unit+a_inspection_jpy_per_unit)/a_cur_div+a_jct_rate_standard*(-('PL Monthly'!W23+'PL Monthly'!W24+'PL Monthly'!W25+'PL Monthly'!W26+'PL Monthly'!W27))</f>
        <v>21466.588044</v>
      </c>
      <c r="Z14" s="62" t="n">
        <f aca="false">a_jct_rate_output*(a_prepay_order_pct*Z9+(1-a_prepay_order_pct)*X9)*a_unit_cogs_jpy/a_cur_div*a_supplier_invoice_credit_rate+a_jct_rate_standard*Z10*(a_logistics_jpy_per_unit+a_inspection_jpy_per_unit)/a_cur_div+a_jct_rate_standard*(-('PL Monthly'!X23+'PL Monthly'!X24+'PL Monthly'!X25+'PL Monthly'!X26+'PL Monthly'!X27))</f>
        <v>22967.366169</v>
      </c>
      <c r="AA14" s="62" t="n">
        <f aca="false">a_jct_rate_output*(a_prepay_order_pct*AA9+(1-a_prepay_order_pct)*Y9)*a_unit_cogs_jpy/a_cur_div*a_supplier_invoice_credit_rate+a_jct_rate_standard*AA10*(a_logistics_jpy_per_unit+a_inspection_jpy_per_unit)/a_cur_div+a_jct_rate_standard*(-('PL Monthly'!Y23+'PL Monthly'!Y24+'PL Monthly'!Y25+'PL Monthly'!Y26+'PL Monthly'!Y27))</f>
        <v>22967.366169</v>
      </c>
      <c r="AB14" s="62" t="n">
        <f aca="false">a_jct_rate_output*(a_prepay_order_pct*AB9+(1-a_prepay_order_pct)*Z9)*a_unit_cogs_jpy/a_cur_div*a_supplier_invoice_credit_rate+a_jct_rate_standard*AB10*(a_logistics_jpy_per_unit+a_inspection_jpy_per_unit)/a_cur_div+a_jct_rate_standard*(-('PL Monthly'!Z23+'PL Monthly'!Z24+'PL Monthly'!Z25+'PL Monthly'!Z26+'PL Monthly'!Z27))</f>
        <v>24569.80401216</v>
      </c>
      <c r="AC14" s="62" t="n">
        <f aca="false">a_jct_rate_output*(a_prepay_order_pct*AC9+(1-a_prepay_order_pct)*AA9)*a_unit_cogs_jpy/a_cur_div*a_supplier_invoice_credit_rate+a_jct_rate_standard*AC10*(a_logistics_jpy_per_unit+a_inspection_jpy_per_unit)/a_cur_div+a_jct_rate_standard*(-('PL Monthly'!AA23+'PL Monthly'!AA24+'PL Monthly'!AA25+'PL Monthly'!AA26+'PL Monthly'!AA27))</f>
        <v>25974.57153324</v>
      </c>
      <c r="AD14" s="62" t="n">
        <f aca="false">a_jct_rate_output*(a_prepay_order_pct*AD9+(1-a_prepay_order_pct)*AB9)*a_unit_cogs_jpy/a_cur_div*a_supplier_invoice_credit_rate+a_jct_rate_standard*AD10*(a_logistics_jpy_per_unit+a_inspection_jpy_per_unit)/a_cur_div+a_jct_rate_standard*(-('PL Monthly'!AB23+'PL Monthly'!AB24+'PL Monthly'!AB25+'PL Monthly'!AB26+'PL Monthly'!AB27))</f>
        <v>25974.57153324</v>
      </c>
      <c r="AE14" s="62" t="n">
        <f aca="false">a_jct_rate_output*(a_prepay_order_pct*AE9+(1-a_prepay_order_pct)*AC9)*a_unit_cogs_jpy/a_cur_div*a_supplier_invoice_credit_rate+a_jct_rate_standard*AE10*(a_logistics_jpy_per_unit+a_inspection_jpy_per_unit)/a_cur_div+a_jct_rate_standard*(-('PL Monthly'!AC23+'PL Monthly'!AC24+'PL Monthly'!AC25+'PL Monthly'!AC26+'PL Monthly'!AC27))</f>
        <v>26017.37142213</v>
      </c>
      <c r="AF14" s="62" t="n">
        <f aca="false">a_jct_rate_output*(a_prepay_order_pct*AF9+(1-a_prepay_order_pct)*AD9)*a_unit_cogs_jpy/a_cur_div*a_supplier_invoice_credit_rate+a_jct_rate_standard*AF10*(a_logistics_jpy_per_unit+a_inspection_jpy_per_unit)/a_cur_div+a_jct_rate_standard*(-('PL Monthly'!AD23+'PL Monthly'!AD24+'PL Monthly'!AD25+'PL Monthly'!AD26+'PL Monthly'!AD27))</f>
        <v>26017.37142213</v>
      </c>
      <c r="AG14" s="62" t="n">
        <f aca="false">a_jct_rate_output*(a_prepay_order_pct*AG9+(1-a_prepay_order_pct)*AE9)*a_unit_cogs_jpy/a_cur_div*a_supplier_invoice_credit_rate+a_jct_rate_standard*AG10*(a_logistics_jpy_per_unit+a_inspection_jpy_per_unit)/a_cur_div+a_jct_rate_standard*(-('PL Monthly'!AE23+'PL Monthly'!AE24+'PL Monthly'!AE25+'PL Monthly'!AE26+'PL Monthly'!AE27))</f>
        <v>26017.37142213</v>
      </c>
      <c r="AH14" s="62" t="n">
        <f aca="false">a_jct_rate_output*(a_prepay_order_pct*AH9+(1-a_prepay_order_pct)*AF9)*a_unit_cogs_jpy/a_cur_div*a_supplier_invoice_credit_rate+a_jct_rate_standard*AH10*(a_logistics_jpy_per_unit+a_inspection_jpy_per_unit)/a_cur_div+a_jct_rate_standard*(-('PL Monthly'!AF23+'PL Monthly'!AF24+'PL Monthly'!AF25+'PL Monthly'!AF26+'PL Monthly'!AF27))</f>
        <v>25974.57153324</v>
      </c>
      <c r="AI14" s="62" t="n">
        <f aca="false">a_jct_rate_output*(a_prepay_order_pct*AI9+(1-a_prepay_order_pct)*AG9)*a_unit_cogs_jpy/a_cur_div*a_supplier_invoice_credit_rate+a_jct_rate_standard*AI10*(a_logistics_jpy_per_unit+a_inspection_jpy_per_unit)/a_cur_div+a_jct_rate_standard*(-('PL Monthly'!AG23+'PL Monthly'!AG24+'PL Monthly'!AG25+'PL Monthly'!AG26+'PL Monthly'!AG27))</f>
        <v>25974.57153324</v>
      </c>
      <c r="AJ14" s="62" t="n">
        <f aca="false">a_jct_rate_output*(a_prepay_order_pct*AJ9+(1-a_prepay_order_pct)*AH9)*a_unit_cogs_jpy/a_cur_div*a_supplier_invoice_credit_rate+a_jct_rate_standard*AJ10*(a_logistics_jpy_per_unit+a_inspection_jpy_per_unit)/a_cur_div+a_jct_rate_standard*(-('PL Monthly'!AH23+'PL Monthly'!AH24+'PL Monthly'!AH25+'PL Monthly'!AH26+'PL Monthly'!AH27))</f>
        <v>25974.57153324</v>
      </c>
      <c r="AK14" s="62" t="n">
        <f aca="false">a_jct_rate_output*(a_prepay_order_pct*AK9+(1-a_prepay_order_pct)*AI9)*a_unit_cogs_jpy/a_cur_div*a_supplier_invoice_credit_rate+a_jct_rate_standard*AK10*(a_logistics_jpy_per_unit+a_inspection_jpy_per_unit)/a_cur_div+a_jct_rate_standard*(-('PL Monthly'!AI23+'PL Monthly'!AI24+'PL Monthly'!AI25+'PL Monthly'!AI26+'PL Monthly'!AI27))</f>
        <v>25974.57153324</v>
      </c>
      <c r="AL14" s="62" t="n">
        <f aca="false">a_jct_rate_output*(a_prepay_order_pct*AL9+(1-a_prepay_order_pct)*AJ9)*a_unit_cogs_jpy/a_cur_div*a_supplier_invoice_credit_rate+a_jct_rate_standard*AL10*(a_logistics_jpy_per_unit+a_inspection_jpy_per_unit)/a_cur_div+a_jct_rate_standard*(-('PL Monthly'!AJ23+'PL Monthly'!AJ24+'PL Monthly'!AJ25+'PL Monthly'!AJ26+'PL Monthly'!AJ27))</f>
        <v>17327.23090824</v>
      </c>
      <c r="AM14" s="62" t="n">
        <f aca="false">a_jct_rate_output*(a_prepay_order_pct*AM9+(1-a_prepay_order_pct)*AK9)*a_unit_cogs_jpy/a_cur_div*a_supplier_invoice_credit_rate+a_jct_rate_standard*AM10*(a_logistics_jpy_per_unit+a_inspection_jpy_per_unit)/a_cur_div+a_jct_rate_standard*(-('PL Monthly'!AK23+'PL Monthly'!AK24+'PL Monthly'!AK25+'PL Monthly'!AK26+'PL Monthly'!AK27))</f>
        <v>17327.23090824</v>
      </c>
      <c r="AN14" s="62" t="n">
        <f aca="false">a_jct_rate_output*(a_prepay_order_pct*AN9+(1-a_prepay_order_pct)*AL9)*a_unit_cogs_jpy/a_cur_div*a_supplier_invoice_credit_rate+a_jct_rate_standard*AN10*(a_logistics_jpy_per_unit+a_inspection_jpy_per_unit)/a_cur_div+a_jct_rate_standard*(-('PL Monthly'!AL23+'PL Monthly'!AL24+'PL Monthly'!AL25+'PL Monthly'!AL26+'PL Monthly'!AL27))</f>
        <v>8094.13666908</v>
      </c>
      <c r="AO14" s="1"/>
      <c r="AP14" s="1"/>
      <c r="AQ14" s="1"/>
      <c r="AR14" s="1"/>
      <c r="AS14" s="1"/>
      <c r="AT14" s="1"/>
      <c r="AU14" s="1"/>
      <c r="AV14" s="1"/>
    </row>
    <row r="15" customFormat="false" ht="15" hidden="false" customHeight="false" outlineLevel="0" collapsed="false">
      <c r="A15" s="1"/>
      <c r="B15" s="19" t="s">
        <v>546</v>
      </c>
      <c r="C15" s="62" t="n">
        <f aca="false">-(a_prepay_order_pct*C9+(1-a_prepay_order_pct)*0)*a_unit_cogs_jpy/a_cur_div</f>
        <v>-65625</v>
      </c>
      <c r="D15" s="62" t="n">
        <f aca="false">-(a_prepay_order_pct*D9+(1-a_prepay_order_pct)*0)*a_unit_cogs_jpy/a_cur_div</f>
        <v>-0</v>
      </c>
      <c r="E15" s="62" t="n">
        <f aca="false">-(a_prepay_order_pct*E9+(1-a_prepay_order_pct)*C9)*a_unit_cogs_jpy/a_cur_div</f>
        <v>-65625</v>
      </c>
      <c r="F15" s="62" t="n">
        <f aca="false">-(a_prepay_order_pct*F9+(1-a_prepay_order_pct)*D9)*a_unit_cogs_jpy/a_cur_div</f>
        <v>-32812.5</v>
      </c>
      <c r="G15" s="62" t="n">
        <f aca="false">-(a_prepay_order_pct*G9+(1-a_prepay_order_pct)*E9)*a_unit_cogs_jpy/a_cur_div</f>
        <v>-39375</v>
      </c>
      <c r="H15" s="62" t="n">
        <f aca="false">-(a_prepay_order_pct*H9+(1-a_prepay_order_pct)*F9)*a_unit_cogs_jpy/a_cur_div</f>
        <v>-78750</v>
      </c>
      <c r="I15" s="62" t="n">
        <f aca="false">-(a_prepay_order_pct*I9+(1-a_prepay_order_pct)*G9)*a_unit_cogs_jpy/a_cur_div</f>
        <v>-91875</v>
      </c>
      <c r="J15" s="62" t="n">
        <f aca="false">-(a_prepay_order_pct*J9+(1-a_prepay_order_pct)*H9)*a_unit_cogs_jpy/a_cur_div</f>
        <v>-105000</v>
      </c>
      <c r="K15" s="62" t="n">
        <f aca="false">-(a_prepay_order_pct*K9+(1-a_prepay_order_pct)*I9)*a_unit_cogs_jpy/a_cur_div</f>
        <v>-111562.5</v>
      </c>
      <c r="L15" s="62" t="n">
        <f aca="false">-(a_prepay_order_pct*L9+(1-a_prepay_order_pct)*J9)*a_unit_cogs_jpy/a_cur_div</f>
        <v>-118125</v>
      </c>
      <c r="M15" s="62" t="n">
        <f aca="false">-(a_prepay_order_pct*M9+(1-a_prepay_order_pct)*K9)*a_unit_cogs_jpy/a_cur_div</f>
        <v>-118125</v>
      </c>
      <c r="N15" s="62" t="n">
        <f aca="false">-(a_prepay_order_pct*N9+(1-a_prepay_order_pct)*L9)*a_unit_cogs_jpy/a_cur_div</f>
        <v>-130528.125</v>
      </c>
      <c r="O15" s="62" t="n">
        <f aca="false">-(a_prepay_order_pct*O9+(1-a_prepay_order_pct)*M9)*a_unit_cogs_jpy/a_cur_div</f>
        <v>-130528.125</v>
      </c>
      <c r="P15" s="62" t="n">
        <f aca="false">-(a_prepay_order_pct*P9+(1-a_prepay_order_pct)*N9)*a_unit_cogs_jpy/a_cur_div</f>
        <v>-142931.25</v>
      </c>
      <c r="Q15" s="62" t="n">
        <f aca="false">-(a_prepay_order_pct*Q9+(1-a_prepay_order_pct)*O9)*a_unit_cogs_jpy/a_cur_div</f>
        <v>-142931.25</v>
      </c>
      <c r="R15" s="62" t="n">
        <f aca="false">-(a_prepay_order_pct*R9+(1-a_prepay_order_pct)*P9)*a_unit_cogs_jpy/a_cur_div</f>
        <v>-142931.25</v>
      </c>
      <c r="S15" s="62" t="n">
        <f aca="false">-(a_prepay_order_pct*S9+(1-a_prepay_order_pct)*Q9)*a_unit_cogs_jpy/a_cur_div</f>
        <v>-142931.25</v>
      </c>
      <c r="T15" s="62" t="n">
        <f aca="false">-(a_prepay_order_pct*T9+(1-a_prepay_order_pct)*R9)*a_unit_cogs_jpy/a_cur_div</f>
        <v>-142931.25</v>
      </c>
      <c r="U15" s="62" t="n">
        <f aca="false">-(a_prepay_order_pct*U9+(1-a_prepay_order_pct)*S9)*a_unit_cogs_jpy/a_cur_div</f>
        <v>-142931.25</v>
      </c>
      <c r="V15" s="62" t="n">
        <f aca="false">-(a_prepay_order_pct*V9+(1-a_prepay_order_pct)*T9)*a_unit_cogs_jpy/a_cur_div</f>
        <v>-142931.25</v>
      </c>
      <c r="W15" s="62" t="n">
        <f aca="false">-(a_prepay_order_pct*W9+(1-a_prepay_order_pct)*U9)*a_unit_cogs_jpy/a_cur_div</f>
        <v>-142931.25</v>
      </c>
      <c r="X15" s="62" t="n">
        <f aca="false">-(a_prepay_order_pct*X9+(1-a_prepay_order_pct)*V9)*a_unit_cogs_jpy/a_cur_div</f>
        <v>-142931.25</v>
      </c>
      <c r="Y15" s="62" t="n">
        <f aca="false">-(a_prepay_order_pct*Y9+(1-a_prepay_order_pct)*W9)*a_unit_cogs_jpy/a_cur_div</f>
        <v>-142931.25</v>
      </c>
      <c r="Z15" s="62" t="n">
        <f aca="false">-(a_prepay_order_pct*Z9+(1-a_prepay_order_pct)*X9)*a_unit_cogs_jpy/a_cur_div</f>
        <v>-157939.03125</v>
      </c>
      <c r="AA15" s="62" t="n">
        <f aca="false">-(a_prepay_order_pct*AA9+(1-a_prepay_order_pct)*Y9)*a_unit_cogs_jpy/a_cur_div</f>
        <v>-157939.03125</v>
      </c>
      <c r="AB15" s="62" t="n">
        <f aca="false">-(a_prepay_order_pct*AB9+(1-a_prepay_order_pct)*Z9)*a_unit_cogs_jpy/a_cur_div</f>
        <v>-172946.8125</v>
      </c>
      <c r="AC15" s="62" t="n">
        <f aca="false">-(a_prepay_order_pct*AC9+(1-a_prepay_order_pct)*AA9)*a_unit_cogs_jpy/a_cur_div</f>
        <v>-172946.8125</v>
      </c>
      <c r="AD15" s="62" t="n">
        <f aca="false">-(a_prepay_order_pct*AD9+(1-a_prepay_order_pct)*AB9)*a_unit_cogs_jpy/a_cur_div</f>
        <v>-172946.8125</v>
      </c>
      <c r="AE15" s="62" t="n">
        <f aca="false">-(a_prepay_order_pct*AE9+(1-a_prepay_order_pct)*AC9)*a_unit_cogs_jpy/a_cur_div</f>
        <v>-172946.8125</v>
      </c>
      <c r="AF15" s="62" t="n">
        <f aca="false">-(a_prepay_order_pct*AF9+(1-a_prepay_order_pct)*AD9)*a_unit_cogs_jpy/a_cur_div</f>
        <v>-172946.8125</v>
      </c>
      <c r="AG15" s="62" t="n">
        <f aca="false">-(a_prepay_order_pct*AG9+(1-a_prepay_order_pct)*AE9)*a_unit_cogs_jpy/a_cur_div</f>
        <v>-172946.8125</v>
      </c>
      <c r="AH15" s="62" t="n">
        <f aca="false">-(a_prepay_order_pct*AH9+(1-a_prepay_order_pct)*AF9)*a_unit_cogs_jpy/a_cur_div</f>
        <v>-172946.8125</v>
      </c>
      <c r="AI15" s="62" t="n">
        <f aca="false">-(a_prepay_order_pct*AI9+(1-a_prepay_order_pct)*AG9)*a_unit_cogs_jpy/a_cur_div</f>
        <v>-172946.8125</v>
      </c>
      <c r="AJ15" s="62" t="n">
        <f aca="false">-(a_prepay_order_pct*AJ9+(1-a_prepay_order_pct)*AH9)*a_unit_cogs_jpy/a_cur_div</f>
        <v>-172946.8125</v>
      </c>
      <c r="AK15" s="62" t="n">
        <f aca="false">-(a_prepay_order_pct*AK9+(1-a_prepay_order_pct)*AI9)*a_unit_cogs_jpy/a_cur_div</f>
        <v>-172946.8125</v>
      </c>
      <c r="AL15" s="62" t="n">
        <f aca="false">-(a_prepay_order_pct*AL9+(1-a_prepay_order_pct)*AJ9)*a_unit_cogs_jpy/a_cur_div</f>
        <v>-86473.40625</v>
      </c>
      <c r="AM15" s="62" t="n">
        <f aca="false">-(a_prepay_order_pct*AM9+(1-a_prepay_order_pct)*AK9)*a_unit_cogs_jpy/a_cur_div</f>
        <v>-86473.40625</v>
      </c>
      <c r="AN15" s="62" t="n">
        <f aca="false">-(a_prepay_order_pct*AN9+(1-a_prepay_order_pct)*AL9)*a_unit_cogs_jpy/a_cur_div</f>
        <v>-0</v>
      </c>
      <c r="AO15" s="1"/>
      <c r="AP15" s="1"/>
      <c r="AQ15" s="1"/>
      <c r="AR15" s="1"/>
      <c r="AS15" s="1"/>
      <c r="AT15" s="1"/>
      <c r="AU15" s="1"/>
      <c r="AV15" s="1"/>
    </row>
    <row r="16" customFormat="false" ht="15" hidden="false" customHeight="false" outlineLevel="0" collapsed="false">
      <c r="A16" s="1"/>
      <c r="B16" s="30" t="s">
        <v>547</v>
      </c>
      <c r="C16" s="61" t="n">
        <f aca="false">-C10*(a_logistics_jpy_per_unit+a_inspection_jpy_per_unit)/a_cur_div</f>
        <v>-0</v>
      </c>
      <c r="D16" s="61" t="n">
        <f aca="false">-D10*(a_logistics_jpy_per_unit+a_inspection_jpy_per_unit)/a_cur_div</f>
        <v>-0</v>
      </c>
      <c r="E16" s="61" t="n">
        <f aca="false">-E10*(a_logistics_jpy_per_unit+a_inspection_jpy_per_unit)/a_cur_div</f>
        <v>-4166.66666666667</v>
      </c>
      <c r="F16" s="61" t="n">
        <f aca="false">-F10*(a_logistics_jpy_per_unit+a_inspection_jpy_per_unit)/a_cur_div</f>
        <v>-0</v>
      </c>
      <c r="G16" s="61" t="n">
        <f aca="false">-G10*(a_logistics_jpy_per_unit+a_inspection_jpy_per_unit)/a_cur_div</f>
        <v>-0</v>
      </c>
      <c r="H16" s="61" t="n">
        <f aca="false">-H10*(a_logistics_jpy_per_unit+a_inspection_jpy_per_unit)/a_cur_div</f>
        <v>-2083.33333333333</v>
      </c>
      <c r="I16" s="61" t="n">
        <f aca="false">-I10*(a_logistics_jpy_per_unit+a_inspection_jpy_per_unit)/a_cur_div</f>
        <v>-2500</v>
      </c>
      <c r="J16" s="61" t="n">
        <f aca="false">-J10*(a_logistics_jpy_per_unit+a_inspection_jpy_per_unit)/a_cur_div</f>
        <v>-2916.66666666667</v>
      </c>
      <c r="K16" s="61" t="n">
        <f aca="false">-K10*(a_logistics_jpy_per_unit+a_inspection_jpy_per_unit)/a_cur_div</f>
        <v>-3333.33333333333</v>
      </c>
      <c r="L16" s="61" t="n">
        <f aca="false">-L10*(a_logistics_jpy_per_unit+a_inspection_jpy_per_unit)/a_cur_div</f>
        <v>-3750</v>
      </c>
      <c r="M16" s="61" t="n">
        <f aca="false">-M10*(a_logistics_jpy_per_unit+a_inspection_jpy_per_unit)/a_cur_div</f>
        <v>-3750</v>
      </c>
      <c r="N16" s="61" t="n">
        <f aca="false">-N10*(a_logistics_jpy_per_unit+a_inspection_jpy_per_unit)/a_cur_div</f>
        <v>-3750</v>
      </c>
      <c r="O16" s="61" t="n">
        <f aca="false">-O10*(a_logistics_jpy_per_unit+a_inspection_jpy_per_unit)/a_cur_div</f>
        <v>-3750</v>
      </c>
      <c r="P16" s="61" t="n">
        <f aca="false">-P10*(a_logistics_jpy_per_unit+a_inspection_jpy_per_unit)/a_cur_div</f>
        <v>-4537.5</v>
      </c>
      <c r="Q16" s="61" t="n">
        <f aca="false">-Q10*(a_logistics_jpy_per_unit+a_inspection_jpy_per_unit)/a_cur_div</f>
        <v>-4537.5</v>
      </c>
      <c r="R16" s="61" t="n">
        <f aca="false">-R10*(a_logistics_jpy_per_unit+a_inspection_jpy_per_unit)/a_cur_div</f>
        <v>-4537.5</v>
      </c>
      <c r="S16" s="61" t="n">
        <f aca="false">-S10*(a_logistics_jpy_per_unit+a_inspection_jpy_per_unit)/a_cur_div</f>
        <v>-4537.5</v>
      </c>
      <c r="T16" s="61" t="n">
        <f aca="false">-T10*(a_logistics_jpy_per_unit+a_inspection_jpy_per_unit)/a_cur_div</f>
        <v>-4537.5</v>
      </c>
      <c r="U16" s="61" t="n">
        <f aca="false">-U10*(a_logistics_jpy_per_unit+a_inspection_jpy_per_unit)/a_cur_div</f>
        <v>-4537.5</v>
      </c>
      <c r="V16" s="61" t="n">
        <f aca="false">-V10*(a_logistics_jpy_per_unit+a_inspection_jpy_per_unit)/a_cur_div</f>
        <v>-4537.5</v>
      </c>
      <c r="W16" s="61" t="n">
        <f aca="false">-W10*(a_logistics_jpy_per_unit+a_inspection_jpy_per_unit)/a_cur_div</f>
        <v>-4537.5</v>
      </c>
      <c r="X16" s="61" t="n">
        <f aca="false">-X10*(a_logistics_jpy_per_unit+a_inspection_jpy_per_unit)/a_cur_div</f>
        <v>-4537.5</v>
      </c>
      <c r="Y16" s="61" t="n">
        <f aca="false">-Y10*(a_logistics_jpy_per_unit+a_inspection_jpy_per_unit)/a_cur_div</f>
        <v>-4537.5</v>
      </c>
      <c r="Z16" s="61" t="n">
        <f aca="false">-Z10*(a_logistics_jpy_per_unit+a_inspection_jpy_per_unit)/a_cur_div</f>
        <v>-4537.5</v>
      </c>
      <c r="AA16" s="61" t="n">
        <f aca="false">-AA10*(a_logistics_jpy_per_unit+a_inspection_jpy_per_unit)/a_cur_div</f>
        <v>-4537.5</v>
      </c>
      <c r="AB16" s="61" t="n">
        <f aca="false">-AB10*(a_logistics_jpy_per_unit+a_inspection_jpy_per_unit)/a_cur_div</f>
        <v>-5490.375</v>
      </c>
      <c r="AC16" s="61" t="n">
        <f aca="false">-AC10*(a_logistics_jpy_per_unit+a_inspection_jpy_per_unit)/a_cur_div</f>
        <v>-5490.375</v>
      </c>
      <c r="AD16" s="61" t="n">
        <f aca="false">-AD10*(a_logistics_jpy_per_unit+a_inspection_jpy_per_unit)/a_cur_div</f>
        <v>-5490.37500000001</v>
      </c>
      <c r="AE16" s="61" t="n">
        <f aca="false">-AE10*(a_logistics_jpy_per_unit+a_inspection_jpy_per_unit)/a_cur_div</f>
        <v>-5490.375</v>
      </c>
      <c r="AF16" s="61" t="n">
        <f aca="false">-AF10*(a_logistics_jpy_per_unit+a_inspection_jpy_per_unit)/a_cur_div</f>
        <v>-5490.375</v>
      </c>
      <c r="AG16" s="61" t="n">
        <f aca="false">-AG10*(a_logistics_jpy_per_unit+a_inspection_jpy_per_unit)/a_cur_div</f>
        <v>-5490.375</v>
      </c>
      <c r="AH16" s="61" t="n">
        <f aca="false">-AH10*(a_logistics_jpy_per_unit+a_inspection_jpy_per_unit)/a_cur_div</f>
        <v>-5490.375</v>
      </c>
      <c r="AI16" s="61" t="n">
        <f aca="false">-AI10*(a_logistics_jpy_per_unit+a_inspection_jpy_per_unit)/a_cur_div</f>
        <v>-5490.375</v>
      </c>
      <c r="AJ16" s="61" t="n">
        <f aca="false">-AJ10*(a_logistics_jpy_per_unit+a_inspection_jpy_per_unit)/a_cur_div</f>
        <v>-5490.375</v>
      </c>
      <c r="AK16" s="61" t="n">
        <f aca="false">-AK10*(a_logistics_jpy_per_unit+a_inspection_jpy_per_unit)/a_cur_div</f>
        <v>-5490.375</v>
      </c>
      <c r="AL16" s="61" t="n">
        <f aca="false">-AL10*(a_logistics_jpy_per_unit+a_inspection_jpy_per_unit)/a_cur_div</f>
        <v>-5490.375</v>
      </c>
      <c r="AM16" s="61" t="n">
        <f aca="false">-AM10*(a_logistics_jpy_per_unit+a_inspection_jpy_per_unit)/a_cur_div</f>
        <v>-5490.375</v>
      </c>
      <c r="AN16" s="61" t="n">
        <f aca="false">-AN10*(a_logistics_jpy_per_unit+a_inspection_jpy_per_unit)/a_cur_div</f>
        <v>-0</v>
      </c>
      <c r="AO16" s="1"/>
      <c r="AP16" s="1"/>
      <c r="AQ16" s="1"/>
      <c r="AR16" s="1"/>
      <c r="AS16" s="1"/>
      <c r="AT16" s="1"/>
      <c r="AU16" s="1"/>
      <c r="AV16" s="1"/>
    </row>
    <row r="17" customFormat="false" ht="15" hidden="false" customHeight="false" outlineLevel="0" collapsed="false">
      <c r="A17" s="1"/>
      <c r="B17" s="19" t="s">
        <v>548</v>
      </c>
      <c r="C17" s="62" t="n">
        <f aca="false">-(a_jct_rate_output*(a_prepay_order_pct*C9+(1-a_prepay_order_pct)*0)*a_unit_cogs_jpy/a_cur_div+a_jct_rate_standard*C10*(a_logistics_jpy_per_unit+a_inspection_jpy_per_unit)/a_cur_div)</f>
        <v>-6562.5</v>
      </c>
      <c r="D17" s="62" t="n">
        <f aca="false">-(a_jct_rate_output*(a_prepay_order_pct*D9+(1-a_prepay_order_pct)*0)*a_unit_cogs_jpy/a_cur_div+a_jct_rate_standard*D10*(a_logistics_jpy_per_unit+a_inspection_jpy_per_unit)/a_cur_div)</f>
        <v>-0</v>
      </c>
      <c r="E17" s="62" t="n">
        <f aca="false">-(a_jct_rate_output*(a_prepay_order_pct*E9+(1-a_prepay_order_pct)*C9)*a_unit_cogs_jpy/a_cur_div+a_jct_rate_standard*E10*(a_logistics_jpy_per_unit+a_inspection_jpy_per_unit)/a_cur_div)</f>
        <v>-6979.16666666667</v>
      </c>
      <c r="F17" s="62" t="n">
        <f aca="false">-(a_jct_rate_output*(a_prepay_order_pct*F9+(1-a_prepay_order_pct)*D9)*a_unit_cogs_jpy/a_cur_div+a_jct_rate_standard*F10*(a_logistics_jpy_per_unit+a_inspection_jpy_per_unit)/a_cur_div)</f>
        <v>-3281.25</v>
      </c>
      <c r="G17" s="62" t="n">
        <f aca="false">-(a_jct_rate_output*(a_prepay_order_pct*G9+(1-a_prepay_order_pct)*E9)*a_unit_cogs_jpy/a_cur_div+a_jct_rate_standard*G10*(a_logistics_jpy_per_unit+a_inspection_jpy_per_unit)/a_cur_div)</f>
        <v>-3937.5</v>
      </c>
      <c r="H17" s="62" t="n">
        <f aca="false">-(a_jct_rate_output*(a_prepay_order_pct*H9+(1-a_prepay_order_pct)*F9)*a_unit_cogs_jpy/a_cur_div+a_jct_rate_standard*H10*(a_logistics_jpy_per_unit+a_inspection_jpy_per_unit)/a_cur_div)</f>
        <v>-8083.33333333333</v>
      </c>
      <c r="I17" s="62" t="n">
        <f aca="false">-(a_jct_rate_output*(a_prepay_order_pct*I9+(1-a_prepay_order_pct)*G9)*a_unit_cogs_jpy/a_cur_div+a_jct_rate_standard*I10*(a_logistics_jpy_per_unit+a_inspection_jpy_per_unit)/a_cur_div)</f>
        <v>-9437.5</v>
      </c>
      <c r="J17" s="62" t="n">
        <f aca="false">-(a_jct_rate_output*(a_prepay_order_pct*J9+(1-a_prepay_order_pct)*H9)*a_unit_cogs_jpy/a_cur_div+a_jct_rate_standard*J10*(a_logistics_jpy_per_unit+a_inspection_jpy_per_unit)/a_cur_div)</f>
        <v>-10791.6666666667</v>
      </c>
      <c r="K17" s="62" t="n">
        <f aca="false">-(a_jct_rate_output*(a_prepay_order_pct*K9+(1-a_prepay_order_pct)*I9)*a_unit_cogs_jpy/a_cur_div+a_jct_rate_standard*K10*(a_logistics_jpy_per_unit+a_inspection_jpy_per_unit)/a_cur_div)</f>
        <v>-11489.5833333333</v>
      </c>
      <c r="L17" s="62" t="n">
        <f aca="false">-(a_jct_rate_output*(a_prepay_order_pct*L9+(1-a_prepay_order_pct)*J9)*a_unit_cogs_jpy/a_cur_div+a_jct_rate_standard*L10*(a_logistics_jpy_per_unit+a_inspection_jpy_per_unit)/a_cur_div)</f>
        <v>-12187.5</v>
      </c>
      <c r="M17" s="62" t="n">
        <f aca="false">-(a_jct_rate_output*(a_prepay_order_pct*M9+(1-a_prepay_order_pct)*K9)*a_unit_cogs_jpy/a_cur_div+a_jct_rate_standard*M10*(a_logistics_jpy_per_unit+a_inspection_jpy_per_unit)/a_cur_div)</f>
        <v>-12187.5</v>
      </c>
      <c r="N17" s="62" t="n">
        <f aca="false">-(a_jct_rate_output*(a_prepay_order_pct*N9+(1-a_prepay_order_pct)*L9)*a_unit_cogs_jpy/a_cur_div+a_jct_rate_standard*N10*(a_logistics_jpy_per_unit+a_inspection_jpy_per_unit)/a_cur_div)</f>
        <v>-13427.8125</v>
      </c>
      <c r="O17" s="62" t="n">
        <f aca="false">-(a_jct_rate_output*(a_prepay_order_pct*O9+(1-a_prepay_order_pct)*M9)*a_unit_cogs_jpy/a_cur_div+a_jct_rate_standard*O10*(a_logistics_jpy_per_unit+a_inspection_jpy_per_unit)/a_cur_div)</f>
        <v>-13427.8125</v>
      </c>
      <c r="P17" s="62" t="n">
        <f aca="false">-(a_jct_rate_output*(a_prepay_order_pct*P9+(1-a_prepay_order_pct)*N9)*a_unit_cogs_jpy/a_cur_div+a_jct_rate_standard*P10*(a_logistics_jpy_per_unit+a_inspection_jpy_per_unit)/a_cur_div)</f>
        <v>-14746.875</v>
      </c>
      <c r="Q17" s="62" t="n">
        <f aca="false">-(a_jct_rate_output*(a_prepay_order_pct*Q9+(1-a_prepay_order_pct)*O9)*a_unit_cogs_jpy/a_cur_div+a_jct_rate_standard*Q10*(a_logistics_jpy_per_unit+a_inspection_jpy_per_unit)/a_cur_div)</f>
        <v>-14746.875</v>
      </c>
      <c r="R17" s="62" t="n">
        <f aca="false">-(a_jct_rate_output*(a_prepay_order_pct*R9+(1-a_prepay_order_pct)*P9)*a_unit_cogs_jpy/a_cur_div+a_jct_rate_standard*R10*(a_logistics_jpy_per_unit+a_inspection_jpy_per_unit)/a_cur_div)</f>
        <v>-14746.875</v>
      </c>
      <c r="S17" s="62" t="n">
        <f aca="false">-(a_jct_rate_output*(a_prepay_order_pct*S9+(1-a_prepay_order_pct)*Q9)*a_unit_cogs_jpy/a_cur_div+a_jct_rate_standard*S10*(a_logistics_jpy_per_unit+a_inspection_jpy_per_unit)/a_cur_div)</f>
        <v>-14746.875</v>
      </c>
      <c r="T17" s="62" t="n">
        <f aca="false">-(a_jct_rate_output*(a_prepay_order_pct*T9+(1-a_prepay_order_pct)*R9)*a_unit_cogs_jpy/a_cur_div+a_jct_rate_standard*T10*(a_logistics_jpy_per_unit+a_inspection_jpy_per_unit)/a_cur_div)</f>
        <v>-14746.875</v>
      </c>
      <c r="U17" s="62" t="n">
        <f aca="false">-(a_jct_rate_output*(a_prepay_order_pct*U9+(1-a_prepay_order_pct)*S9)*a_unit_cogs_jpy/a_cur_div+a_jct_rate_standard*U10*(a_logistics_jpy_per_unit+a_inspection_jpy_per_unit)/a_cur_div)</f>
        <v>-14746.875</v>
      </c>
      <c r="V17" s="62" t="n">
        <f aca="false">-(a_jct_rate_output*(a_prepay_order_pct*V9+(1-a_prepay_order_pct)*T9)*a_unit_cogs_jpy/a_cur_div+a_jct_rate_standard*V10*(a_logistics_jpy_per_unit+a_inspection_jpy_per_unit)/a_cur_div)</f>
        <v>-14746.875</v>
      </c>
      <c r="W17" s="62" t="n">
        <f aca="false">-(a_jct_rate_output*(a_prepay_order_pct*W9+(1-a_prepay_order_pct)*U9)*a_unit_cogs_jpy/a_cur_div+a_jct_rate_standard*W10*(a_logistics_jpy_per_unit+a_inspection_jpy_per_unit)/a_cur_div)</f>
        <v>-14746.875</v>
      </c>
      <c r="X17" s="62" t="n">
        <f aca="false">-(a_jct_rate_output*(a_prepay_order_pct*X9+(1-a_prepay_order_pct)*V9)*a_unit_cogs_jpy/a_cur_div+a_jct_rate_standard*X10*(a_logistics_jpy_per_unit+a_inspection_jpy_per_unit)/a_cur_div)</f>
        <v>-14746.875</v>
      </c>
      <c r="Y17" s="62" t="n">
        <f aca="false">-(a_jct_rate_output*(a_prepay_order_pct*Y9+(1-a_prepay_order_pct)*W9)*a_unit_cogs_jpy/a_cur_div+a_jct_rate_standard*Y10*(a_logistics_jpy_per_unit+a_inspection_jpy_per_unit)/a_cur_div)</f>
        <v>-14746.875</v>
      </c>
      <c r="Z17" s="62" t="n">
        <f aca="false">-(a_jct_rate_output*(a_prepay_order_pct*Z9+(1-a_prepay_order_pct)*X9)*a_unit_cogs_jpy/a_cur_div+a_jct_rate_standard*Z10*(a_logistics_jpy_per_unit+a_inspection_jpy_per_unit)/a_cur_div)</f>
        <v>-16247.653125</v>
      </c>
      <c r="AA17" s="62" t="n">
        <f aca="false">-(a_jct_rate_output*(a_prepay_order_pct*AA9+(1-a_prepay_order_pct)*Y9)*a_unit_cogs_jpy/a_cur_div+a_jct_rate_standard*AA10*(a_logistics_jpy_per_unit+a_inspection_jpy_per_unit)/a_cur_div)</f>
        <v>-16247.653125</v>
      </c>
      <c r="AB17" s="62" t="n">
        <f aca="false">-(a_jct_rate_output*(a_prepay_order_pct*AB9+(1-a_prepay_order_pct)*Z9)*a_unit_cogs_jpy/a_cur_div+a_jct_rate_standard*AB10*(a_logistics_jpy_per_unit+a_inspection_jpy_per_unit)/a_cur_div)</f>
        <v>-17843.71875</v>
      </c>
      <c r="AC17" s="62" t="n">
        <f aca="false">-(a_jct_rate_output*(a_prepay_order_pct*AC9+(1-a_prepay_order_pct)*AA9)*a_unit_cogs_jpy/a_cur_div+a_jct_rate_standard*AC10*(a_logistics_jpy_per_unit+a_inspection_jpy_per_unit)/a_cur_div)</f>
        <v>-17843.71875</v>
      </c>
      <c r="AD17" s="62" t="n">
        <f aca="false">-(a_jct_rate_output*(a_prepay_order_pct*AD9+(1-a_prepay_order_pct)*AB9)*a_unit_cogs_jpy/a_cur_div+a_jct_rate_standard*AD10*(a_logistics_jpy_per_unit+a_inspection_jpy_per_unit)/a_cur_div)</f>
        <v>-17843.71875</v>
      </c>
      <c r="AE17" s="62" t="n">
        <f aca="false">-(a_jct_rate_output*(a_prepay_order_pct*AE9+(1-a_prepay_order_pct)*AC9)*a_unit_cogs_jpy/a_cur_div+a_jct_rate_standard*AE10*(a_logistics_jpy_per_unit+a_inspection_jpy_per_unit)/a_cur_div)</f>
        <v>-17843.71875</v>
      </c>
      <c r="AF17" s="62" t="n">
        <f aca="false">-(a_jct_rate_output*(a_prepay_order_pct*AF9+(1-a_prepay_order_pct)*AD9)*a_unit_cogs_jpy/a_cur_div+a_jct_rate_standard*AF10*(a_logistics_jpy_per_unit+a_inspection_jpy_per_unit)/a_cur_div)</f>
        <v>-17843.71875</v>
      </c>
      <c r="AG17" s="62" t="n">
        <f aca="false">-(a_jct_rate_output*(a_prepay_order_pct*AG9+(1-a_prepay_order_pct)*AE9)*a_unit_cogs_jpy/a_cur_div+a_jct_rate_standard*AG10*(a_logistics_jpy_per_unit+a_inspection_jpy_per_unit)/a_cur_div)</f>
        <v>-17843.71875</v>
      </c>
      <c r="AH17" s="62" t="n">
        <f aca="false">-(a_jct_rate_output*(a_prepay_order_pct*AH9+(1-a_prepay_order_pct)*AF9)*a_unit_cogs_jpy/a_cur_div+a_jct_rate_standard*AH10*(a_logistics_jpy_per_unit+a_inspection_jpy_per_unit)/a_cur_div)</f>
        <v>-17843.71875</v>
      </c>
      <c r="AI17" s="62" t="n">
        <f aca="false">-(a_jct_rate_output*(a_prepay_order_pct*AI9+(1-a_prepay_order_pct)*AG9)*a_unit_cogs_jpy/a_cur_div+a_jct_rate_standard*AI10*(a_logistics_jpy_per_unit+a_inspection_jpy_per_unit)/a_cur_div)</f>
        <v>-17843.71875</v>
      </c>
      <c r="AJ17" s="62" t="n">
        <f aca="false">-(a_jct_rate_output*(a_prepay_order_pct*AJ9+(1-a_prepay_order_pct)*AH9)*a_unit_cogs_jpy/a_cur_div+a_jct_rate_standard*AJ10*(a_logistics_jpy_per_unit+a_inspection_jpy_per_unit)/a_cur_div)</f>
        <v>-17843.71875</v>
      </c>
      <c r="AK17" s="62" t="n">
        <f aca="false">-(a_jct_rate_output*(a_prepay_order_pct*AK9+(1-a_prepay_order_pct)*AI9)*a_unit_cogs_jpy/a_cur_div+a_jct_rate_standard*AK10*(a_logistics_jpy_per_unit+a_inspection_jpy_per_unit)/a_cur_div)</f>
        <v>-17843.71875</v>
      </c>
      <c r="AL17" s="62" t="n">
        <f aca="false">-(a_jct_rate_output*(a_prepay_order_pct*AL9+(1-a_prepay_order_pct)*AJ9)*a_unit_cogs_jpy/a_cur_div+a_jct_rate_standard*AL10*(a_logistics_jpy_per_unit+a_inspection_jpy_per_unit)/a_cur_div)</f>
        <v>-9196.378125</v>
      </c>
      <c r="AM17" s="62" t="n">
        <f aca="false">-(a_jct_rate_output*(a_prepay_order_pct*AM9+(1-a_prepay_order_pct)*AK9)*a_unit_cogs_jpy/a_cur_div+a_jct_rate_standard*AM10*(a_logistics_jpy_per_unit+a_inspection_jpy_per_unit)/a_cur_div)</f>
        <v>-9196.37812500001</v>
      </c>
      <c r="AN17" s="62" t="n">
        <f aca="false">-(a_jct_rate_output*(a_prepay_order_pct*AN9+(1-a_prepay_order_pct)*AL9)*a_unit_cogs_jpy/a_cur_div+a_jct_rate_standard*AN10*(a_logistics_jpy_per_unit+a_inspection_jpy_per_unit)/a_cur_div)</f>
        <v>-0</v>
      </c>
      <c r="AO17" s="1"/>
      <c r="AP17" s="1"/>
      <c r="AQ17" s="1"/>
      <c r="AR17" s="1"/>
      <c r="AS17" s="1"/>
      <c r="AT17" s="1"/>
      <c r="AU17" s="1"/>
      <c r="AV17" s="1"/>
    </row>
    <row r="18" customFormat="false" ht="15" hidden="false" customHeight="false" outlineLevel="0" collapsed="false">
      <c r="A18" s="1"/>
      <c r="B18" s="30" t="s">
        <v>549</v>
      </c>
      <c r="C18" s="61" t="n">
        <f aca="false">-a_act_capex_total/a_cur_div</f>
        <v>-519200</v>
      </c>
      <c r="D18" s="61" t="n">
        <f aca="false">0</f>
        <v>0</v>
      </c>
      <c r="E18" s="61" t="n">
        <f aca="false">0</f>
        <v>0</v>
      </c>
      <c r="F18" s="61" t="n">
        <f aca="false">0</f>
        <v>0</v>
      </c>
      <c r="G18" s="61" t="n">
        <f aca="false">0</f>
        <v>0</v>
      </c>
      <c r="H18" s="61" t="n">
        <f aca="false">0</f>
        <v>0</v>
      </c>
      <c r="I18" s="61" t="n">
        <f aca="false">0</f>
        <v>0</v>
      </c>
      <c r="J18" s="61" t="n">
        <f aca="false">0</f>
        <v>0</v>
      </c>
      <c r="K18" s="61" t="n">
        <f aca="false">0</f>
        <v>0</v>
      </c>
      <c r="L18" s="61" t="n">
        <f aca="false">0</f>
        <v>0</v>
      </c>
      <c r="M18" s="61" t="n">
        <f aca="false">0</f>
        <v>0</v>
      </c>
      <c r="N18" s="61" t="n">
        <f aca="false">0</f>
        <v>0</v>
      </c>
      <c r="O18" s="61" t="n">
        <f aca="false">0</f>
        <v>0</v>
      </c>
      <c r="P18" s="61" t="n">
        <f aca="false">0</f>
        <v>0</v>
      </c>
      <c r="Q18" s="61" t="n">
        <f aca="false">0</f>
        <v>0</v>
      </c>
      <c r="R18" s="61" t="n">
        <f aca="false">0</f>
        <v>0</v>
      </c>
      <c r="S18" s="61" t="n">
        <f aca="false">0</f>
        <v>0</v>
      </c>
      <c r="T18" s="61" t="n">
        <f aca="false">0</f>
        <v>0</v>
      </c>
      <c r="U18" s="61" t="n">
        <f aca="false">0</f>
        <v>0</v>
      </c>
      <c r="V18" s="61" t="n">
        <f aca="false">0</f>
        <v>0</v>
      </c>
      <c r="W18" s="61" t="n">
        <f aca="false">0</f>
        <v>0</v>
      </c>
      <c r="X18" s="61" t="n">
        <f aca="false">0</f>
        <v>0</v>
      </c>
      <c r="Y18" s="61" t="n">
        <f aca="false">0</f>
        <v>0</v>
      </c>
      <c r="Z18" s="61" t="n">
        <f aca="false">0</f>
        <v>0</v>
      </c>
      <c r="AA18" s="61" t="n">
        <f aca="false">0</f>
        <v>0</v>
      </c>
      <c r="AB18" s="61" t="n">
        <f aca="false">0</f>
        <v>0</v>
      </c>
      <c r="AC18" s="61" t="n">
        <f aca="false">0</f>
        <v>0</v>
      </c>
      <c r="AD18" s="61" t="n">
        <f aca="false">0</f>
        <v>0</v>
      </c>
      <c r="AE18" s="61" t="n">
        <f aca="false">0</f>
        <v>0</v>
      </c>
      <c r="AF18" s="61" t="n">
        <f aca="false">0</f>
        <v>0</v>
      </c>
      <c r="AG18" s="61" t="n">
        <f aca="false">0</f>
        <v>0</v>
      </c>
      <c r="AH18" s="61" t="n">
        <f aca="false">0</f>
        <v>0</v>
      </c>
      <c r="AI18" s="61" t="n">
        <f aca="false">0</f>
        <v>0</v>
      </c>
      <c r="AJ18" s="61" t="n">
        <f aca="false">0</f>
        <v>0</v>
      </c>
      <c r="AK18" s="61" t="n">
        <f aca="false">0</f>
        <v>0</v>
      </c>
      <c r="AL18" s="61" t="n">
        <f aca="false">0</f>
        <v>0</v>
      </c>
      <c r="AM18" s="61" t="n">
        <f aca="false">0</f>
        <v>0</v>
      </c>
      <c r="AN18" s="61" t="n">
        <f aca="false">0</f>
        <v>0</v>
      </c>
      <c r="AO18" s="1"/>
      <c r="AP18" s="1"/>
      <c r="AQ18" s="1"/>
      <c r="AR18" s="1"/>
      <c r="AS18" s="1"/>
      <c r="AT18" s="1"/>
      <c r="AU18" s="1"/>
      <c r="AV18" s="1"/>
    </row>
    <row r="19" customFormat="false" ht="15" hidden="false" customHeight="false" outlineLevel="0" collapsed="false">
      <c r="A19" s="1"/>
      <c r="B19" s="19" t="s">
        <v>550</v>
      </c>
      <c r="C19" s="62" t="n">
        <f aca="false">0</f>
        <v>0</v>
      </c>
      <c r="D19" s="62" t="n">
        <f aca="false">0</f>
        <v>0</v>
      </c>
      <c r="E19" s="62" t="n">
        <f aca="false">'PL Monthly'!C29+'PL Monthly'!C30+'PL Monthly'!C31+'PL Monthly'!C32+'PL Monthly'!C33+'PL Monthly'!C34</f>
        <v>-127900</v>
      </c>
      <c r="F19" s="62" t="n">
        <f aca="false">'PL Monthly'!D29+'PL Monthly'!D30+'PL Monthly'!D31+'PL Monthly'!D32+'PL Monthly'!D33+'PL Monthly'!D34</f>
        <v>-127900</v>
      </c>
      <c r="G19" s="62" t="n">
        <f aca="false">'PL Monthly'!E29+'PL Monthly'!E30+'PL Monthly'!E31+'PL Monthly'!E32+'PL Monthly'!E33+'PL Monthly'!E34</f>
        <v>-127900</v>
      </c>
      <c r="H19" s="62" t="n">
        <f aca="false">'PL Monthly'!F29+'PL Monthly'!F30+'PL Monthly'!F31+'PL Monthly'!F32+'PL Monthly'!F33+'PL Monthly'!F34</f>
        <v>-123884.848484848</v>
      </c>
      <c r="I19" s="62" t="n">
        <f aca="false">'PL Monthly'!G29+'PL Monthly'!G30+'PL Monthly'!G31+'PL Monthly'!G32+'PL Monthly'!G33+'PL Monthly'!G34</f>
        <v>-129055.303030303</v>
      </c>
      <c r="J19" s="62" t="n">
        <f aca="false">'PL Monthly'!H29+'PL Monthly'!H30+'PL Monthly'!H31+'PL Monthly'!H32+'PL Monthly'!H33+'PL Monthly'!H34</f>
        <v>-133695.454545455</v>
      </c>
      <c r="K19" s="62" t="n">
        <f aca="false">'PL Monthly'!I29+'PL Monthly'!I30+'PL Monthly'!I31+'PL Monthly'!I32+'PL Monthly'!I33+'PL Monthly'!I34</f>
        <v>-137805.303030303</v>
      </c>
      <c r="L19" s="62" t="n">
        <f aca="false">'PL Monthly'!J29+'PL Monthly'!J30+'PL Monthly'!J31+'PL Monthly'!J32+'PL Monthly'!J33+'PL Monthly'!J34</f>
        <v>-141384.848484848</v>
      </c>
      <c r="M19" s="62" t="n">
        <f aca="false">'PL Monthly'!K29+'PL Monthly'!K30+'PL Monthly'!K31+'PL Monthly'!K32+'PL Monthly'!K33+'PL Monthly'!K34</f>
        <v>-144434.090909091</v>
      </c>
      <c r="N19" s="62" t="n">
        <f aca="false">'PL Monthly'!L29+'PL Monthly'!L30+'PL Monthly'!L31+'PL Monthly'!L32+'PL Monthly'!L33+'PL Monthly'!L34</f>
        <v>-142047.727272727</v>
      </c>
      <c r="O19" s="62" t="n">
        <f aca="false">'PL Monthly'!M29+'PL Monthly'!M30+'PL Monthly'!M31+'PL Monthly'!M32+'PL Monthly'!M33+'PL Monthly'!M34</f>
        <v>-139661.363636364</v>
      </c>
      <c r="P19" s="62" t="n">
        <f aca="false">'PL Monthly'!N29+'PL Monthly'!N30+'PL Monthly'!N31+'PL Monthly'!N32+'PL Monthly'!N33+'PL Monthly'!N34</f>
        <v>-137275</v>
      </c>
      <c r="Q19" s="62" t="n">
        <f aca="false">'PL Monthly'!O29+'PL Monthly'!O30+'PL Monthly'!O31+'PL Monthly'!O32+'PL Monthly'!O33+'PL Monthly'!O34</f>
        <v>-136015</v>
      </c>
      <c r="R19" s="62" t="n">
        <f aca="false">'PL Monthly'!P29+'PL Monthly'!P30+'PL Monthly'!P31+'PL Monthly'!P32+'PL Monthly'!P33+'PL Monthly'!P34</f>
        <v>-136015</v>
      </c>
      <c r="S19" s="62" t="n">
        <f aca="false">'PL Monthly'!Q29+'PL Monthly'!Q30+'PL Monthly'!Q31+'PL Monthly'!Q32+'PL Monthly'!Q33+'PL Monthly'!Q34</f>
        <v>-136015</v>
      </c>
      <c r="T19" s="62" t="n">
        <f aca="false">'PL Monthly'!R29+'PL Monthly'!R30+'PL Monthly'!R31+'PL Monthly'!R32+'PL Monthly'!R33+'PL Monthly'!R34</f>
        <v>-136015</v>
      </c>
      <c r="U19" s="62" t="n">
        <f aca="false">'PL Monthly'!S29+'PL Monthly'!S30+'PL Monthly'!S31+'PL Monthly'!S32+'PL Monthly'!S33+'PL Monthly'!S34</f>
        <v>-136015</v>
      </c>
      <c r="V19" s="62" t="n">
        <f aca="false">'PL Monthly'!T29+'PL Monthly'!T30+'PL Monthly'!T31+'PL Monthly'!T32+'PL Monthly'!T33+'PL Monthly'!T34</f>
        <v>-136015</v>
      </c>
      <c r="W19" s="62" t="n">
        <f aca="false">'PL Monthly'!U29+'PL Monthly'!U30+'PL Monthly'!U31+'PL Monthly'!U32+'PL Monthly'!U33+'PL Monthly'!U34</f>
        <v>-136015</v>
      </c>
      <c r="X19" s="62" t="n">
        <f aca="false">'PL Monthly'!V29+'PL Monthly'!V30+'PL Monthly'!V31+'PL Monthly'!V32+'PL Monthly'!V33+'PL Monthly'!V34</f>
        <v>-136015</v>
      </c>
      <c r="Y19" s="62" t="n">
        <f aca="false">'PL Monthly'!W29+'PL Monthly'!W30+'PL Monthly'!W31+'PL Monthly'!W32+'PL Monthly'!W33+'PL Monthly'!W34</f>
        <v>-136015</v>
      </c>
      <c r="Z19" s="62" t="n">
        <f aca="false">'PL Monthly'!X29+'PL Monthly'!X30+'PL Monthly'!X31+'PL Monthly'!X32+'PL Monthly'!X33+'PL Monthly'!X34</f>
        <v>-136015</v>
      </c>
      <c r="AA19" s="62" t="n">
        <f aca="false">'PL Monthly'!Y29+'PL Monthly'!Y30+'PL Monthly'!Y31+'PL Monthly'!Y32+'PL Monthly'!Y33+'PL Monthly'!Y34</f>
        <v>-136015</v>
      </c>
      <c r="AB19" s="62" t="n">
        <f aca="false">'PL Monthly'!Z29+'PL Monthly'!Z30+'PL Monthly'!Z31+'PL Monthly'!Z32+'PL Monthly'!Z33+'PL Monthly'!Z34</f>
        <v>-136015</v>
      </c>
      <c r="AC19" s="62" t="n">
        <f aca="false">'PL Monthly'!AA29+'PL Monthly'!AA30+'PL Monthly'!AA31+'PL Monthly'!AA32+'PL Monthly'!AA33+'PL Monthly'!AA34</f>
        <v>-136332.625</v>
      </c>
      <c r="AD19" s="62" t="n">
        <f aca="false">'PL Monthly'!AB29+'PL Monthly'!AB30+'PL Monthly'!AB31+'PL Monthly'!AB32+'PL Monthly'!AB33+'PL Monthly'!AB34</f>
        <v>-136332.625</v>
      </c>
      <c r="AE19" s="62" t="n">
        <f aca="false">'PL Monthly'!AC29+'PL Monthly'!AC30+'PL Monthly'!AC31+'PL Monthly'!AC32+'PL Monthly'!AC33+'PL Monthly'!AC34</f>
        <v>-136332.625</v>
      </c>
      <c r="AF19" s="62" t="n">
        <f aca="false">'PL Monthly'!AD29+'PL Monthly'!AD30+'PL Monthly'!AD31+'PL Monthly'!AD32+'PL Monthly'!AD33+'PL Monthly'!AD34</f>
        <v>-136332.625</v>
      </c>
      <c r="AG19" s="62" t="n">
        <f aca="false">'PL Monthly'!AE29+'PL Monthly'!AE30+'PL Monthly'!AE31+'PL Monthly'!AE32+'PL Monthly'!AE33+'PL Monthly'!AE34</f>
        <v>-136332.625</v>
      </c>
      <c r="AH19" s="62" t="n">
        <f aca="false">'PL Monthly'!AF29+'PL Monthly'!AF30+'PL Monthly'!AF31+'PL Monthly'!AF32+'PL Monthly'!AF33+'PL Monthly'!AF34</f>
        <v>-136332.625</v>
      </c>
      <c r="AI19" s="62" t="n">
        <f aca="false">'PL Monthly'!AG29+'PL Monthly'!AG30+'PL Monthly'!AG31+'PL Monthly'!AG32+'PL Monthly'!AG33+'PL Monthly'!AG34</f>
        <v>-136332.625</v>
      </c>
      <c r="AJ19" s="62" t="n">
        <f aca="false">'PL Monthly'!AH29+'PL Monthly'!AH30+'PL Monthly'!AH31+'PL Monthly'!AH32+'PL Monthly'!AH33+'PL Monthly'!AH34</f>
        <v>-136332.625</v>
      </c>
      <c r="AK19" s="62" t="n">
        <f aca="false">'PL Monthly'!AI29+'PL Monthly'!AI30+'PL Monthly'!AI31+'PL Monthly'!AI32+'PL Monthly'!AI33+'PL Monthly'!AI34</f>
        <v>-136332.625</v>
      </c>
      <c r="AL19" s="62" t="n">
        <f aca="false">'PL Monthly'!AJ29+'PL Monthly'!AJ30+'PL Monthly'!AJ31+'PL Monthly'!AJ32+'PL Monthly'!AJ33+'PL Monthly'!AJ34</f>
        <v>-136332.625</v>
      </c>
      <c r="AM19" s="62" t="n">
        <f aca="false">'PL Monthly'!AK29+'PL Monthly'!AK30+'PL Monthly'!AK31+'PL Monthly'!AK32+'PL Monthly'!AK33+'PL Monthly'!AK34</f>
        <v>-136332.625</v>
      </c>
      <c r="AN19" s="62" t="n">
        <f aca="false">'PL Monthly'!AL29+'PL Monthly'!AL30+'PL Monthly'!AL31+'PL Monthly'!AL32+'PL Monthly'!AL33+'PL Monthly'!AL34</f>
        <v>-136332.625</v>
      </c>
      <c r="AO19" s="1"/>
      <c r="AP19" s="1"/>
      <c r="AQ19" s="1"/>
      <c r="AR19" s="1"/>
      <c r="AS19" s="1"/>
      <c r="AT19" s="1"/>
      <c r="AU19" s="1"/>
      <c r="AV19" s="1"/>
    </row>
    <row r="20" customFormat="false" ht="15" hidden="false" customHeight="false" outlineLevel="0" collapsed="false">
      <c r="A20" s="1"/>
      <c r="B20" s="30" t="s">
        <v>551</v>
      </c>
      <c r="C20" s="61" t="n">
        <f aca="false">0</f>
        <v>0</v>
      </c>
      <c r="D20" s="61" t="n">
        <f aca="false">0</f>
        <v>0</v>
      </c>
      <c r="E20" s="61" t="n">
        <f aca="false">0</f>
        <v>0</v>
      </c>
      <c r="F20" s="61" t="n">
        <f aca="false">E12</f>
        <v>18925.5412</v>
      </c>
      <c r="G20" s="61" t="n">
        <f aca="false">F12</f>
        <v>38188.2368</v>
      </c>
      <c r="H20" s="61" t="n">
        <f aca="false">G12</f>
        <v>57350.5761</v>
      </c>
      <c r="I20" s="61" t="n">
        <f aca="false">H12</f>
        <v>83485.5914</v>
      </c>
      <c r="J20" s="61" t="n">
        <f aca="false">I12</f>
        <v>104370.6067</v>
      </c>
      <c r="K20" s="61" t="n">
        <f aca="false">J12</f>
        <v>125493.816</v>
      </c>
      <c r="L20" s="61" t="n">
        <f aca="false">K12</f>
        <v>146414.5604</v>
      </c>
      <c r="M20" s="61" t="n">
        <f aca="false">L12</f>
        <v>167335.3048</v>
      </c>
      <c r="N20" s="61" t="n">
        <f aca="false">M12</f>
        <v>188286.6996</v>
      </c>
      <c r="O20" s="61" t="n">
        <f aca="false">N12</f>
        <v>188286.6996</v>
      </c>
      <c r="P20" s="61" t="n">
        <f aca="false">O12</f>
        <v>188286.6996</v>
      </c>
      <c r="Q20" s="61" t="n">
        <f aca="false">P12</f>
        <v>188228.770344</v>
      </c>
      <c r="R20" s="61" t="n">
        <f aca="false">Q12</f>
        <v>227826.906516</v>
      </c>
      <c r="S20" s="61" t="n">
        <f aca="false">R12</f>
        <v>227826.906516</v>
      </c>
      <c r="T20" s="61" t="n">
        <f aca="false">S12</f>
        <v>227437.816617</v>
      </c>
      <c r="U20" s="61" t="n">
        <f aca="false">T12</f>
        <v>227437.816617</v>
      </c>
      <c r="V20" s="61" t="n">
        <f aca="false">U12</f>
        <v>227437.816617</v>
      </c>
      <c r="W20" s="61" t="n">
        <f aca="false">V12</f>
        <v>227826.906516</v>
      </c>
      <c r="X20" s="61" t="n">
        <f aca="false">W12</f>
        <v>227826.906516</v>
      </c>
      <c r="Y20" s="61" t="n">
        <f aca="false">X12</f>
        <v>227826.906516</v>
      </c>
      <c r="Z20" s="61" t="n">
        <f aca="false">Y12</f>
        <v>227826.906516</v>
      </c>
      <c r="AA20" s="61" t="n">
        <f aca="false">Z12</f>
        <v>227826.906516</v>
      </c>
      <c r="AB20" s="61" t="n">
        <f aca="false">AA12</f>
        <v>227826.906516</v>
      </c>
      <c r="AC20" s="61" t="n">
        <f aca="false">AB12</f>
        <v>227756.81211624</v>
      </c>
      <c r="AD20" s="61" t="n">
        <f aca="false">AC12</f>
        <v>275670.55688436</v>
      </c>
      <c r="AE20" s="61" t="n">
        <f aca="false">AD12</f>
        <v>275670.55688436</v>
      </c>
      <c r="AF20" s="61" t="n">
        <f aca="false">AE12</f>
        <v>275199.75810657</v>
      </c>
      <c r="AG20" s="61" t="n">
        <f aca="false">AF12</f>
        <v>275199.75810657</v>
      </c>
      <c r="AH20" s="61" t="n">
        <f aca="false">AG12</f>
        <v>275199.75810657</v>
      </c>
      <c r="AI20" s="61" t="n">
        <f aca="false">AH12</f>
        <v>275670.55688436</v>
      </c>
      <c r="AJ20" s="61" t="n">
        <f aca="false">AI12</f>
        <v>275670.55688436</v>
      </c>
      <c r="AK20" s="61" t="n">
        <f aca="false">AJ12</f>
        <v>275670.55688436</v>
      </c>
      <c r="AL20" s="61" t="n">
        <f aca="false">AK12</f>
        <v>275670.55688436</v>
      </c>
      <c r="AM20" s="61" t="n">
        <f aca="false">AL12</f>
        <v>275670.55688436</v>
      </c>
      <c r="AN20" s="61" t="n">
        <f aca="false">AM12</f>
        <v>275670.55688436</v>
      </c>
      <c r="AO20" s="1"/>
      <c r="AP20" s="1"/>
      <c r="AQ20" s="1"/>
      <c r="AR20" s="1"/>
      <c r="AS20" s="1"/>
      <c r="AT20" s="1"/>
      <c r="AU20" s="1"/>
      <c r="AV20" s="1"/>
    </row>
    <row r="21" customFormat="false" ht="15" hidden="false" customHeight="false" outlineLevel="0" collapsed="false">
      <c r="A21" s="1"/>
      <c r="B21" s="19" t="s">
        <v>552</v>
      </c>
      <c r="C21" s="62" t="n">
        <f aca="false">0</f>
        <v>0</v>
      </c>
      <c r="D21" s="62" t="n">
        <f aca="false">0</f>
        <v>0</v>
      </c>
      <c r="E21" s="62" t="n">
        <f aca="false">0</f>
        <v>0</v>
      </c>
      <c r="F21" s="62" t="n">
        <f aca="false">0</f>
        <v>0</v>
      </c>
      <c r="G21" s="62" t="n">
        <f aca="false">0</f>
        <v>0</v>
      </c>
      <c r="H21" s="62" t="n">
        <f aca="false">-(SUM(C13:G13)-SUM(C14:G14))</f>
        <v>8604.5662939394</v>
      </c>
      <c r="I21" s="62" t="n">
        <f aca="false">0</f>
        <v>0</v>
      </c>
      <c r="J21" s="62" t="n">
        <f aca="false">0</f>
        <v>0</v>
      </c>
      <c r="K21" s="62" t="n">
        <f aca="false">-(SUM(H13:J13)-SUM(H14:J14))</f>
        <v>-2162.50128181818</v>
      </c>
      <c r="L21" s="62" t="n">
        <f aca="false">0</f>
        <v>0</v>
      </c>
      <c r="M21" s="62" t="n">
        <f aca="false">0</f>
        <v>0</v>
      </c>
      <c r="N21" s="62" t="n">
        <f aca="false">-(SUM(K13:M13)-SUM(K14:M14))</f>
        <v>-12956.9225575758</v>
      </c>
      <c r="O21" s="62" t="n">
        <f aca="false">0</f>
        <v>0</v>
      </c>
      <c r="P21" s="62" t="n">
        <f aca="false">0</f>
        <v>0</v>
      </c>
      <c r="Q21" s="62" t="n">
        <f aca="false">-(SUM(N13:P13)-SUM(N14:P14))</f>
        <v>-13322.6972312727</v>
      </c>
      <c r="R21" s="62" t="n">
        <f aca="false">0</f>
        <v>0</v>
      </c>
      <c r="S21" s="62" t="n">
        <f aca="false">0</f>
        <v>0</v>
      </c>
      <c r="T21" s="62" t="n">
        <f aca="false">-(SUM(Q13:S13)-SUM(Q14:S14))</f>
        <v>-22189.864059</v>
      </c>
      <c r="U21" s="62" t="n">
        <f aca="false">0</f>
        <v>0</v>
      </c>
      <c r="V21" s="62" t="n">
        <f aca="false">0</f>
        <v>0</v>
      </c>
      <c r="W21" s="62" t="n">
        <f aca="false">-(SUM(T13:V13)-SUM(T14:V14))</f>
        <v>-22154.49225</v>
      </c>
      <c r="X21" s="62" t="n">
        <f aca="false">0</f>
        <v>0</v>
      </c>
      <c r="Y21" s="62" t="n">
        <f aca="false">0</f>
        <v>0</v>
      </c>
      <c r="Z21" s="62" t="n">
        <f aca="false">-(SUM(W13:Y13)-SUM(W14:Y14))</f>
        <v>-22225.235868</v>
      </c>
      <c r="AA21" s="62" t="n">
        <f aca="false">0</f>
        <v>0</v>
      </c>
      <c r="AB21" s="62" t="n">
        <f aca="false">0</f>
        <v>0</v>
      </c>
      <c r="AC21" s="62" t="n">
        <f aca="false">-(SUM(Z13:AB13)-SUM(Z14:AB14))</f>
        <v>-16120.46364984</v>
      </c>
      <c r="AD21" s="62" t="n">
        <f aca="false">0</f>
        <v>0</v>
      </c>
      <c r="AE21" s="62" t="n">
        <f aca="false">0</f>
        <v>0</v>
      </c>
      <c r="AF21" s="62" t="n">
        <f aca="false">-(SUM(AC13:AE13)-SUM(AC14:AE14))</f>
        <v>-26849.73551139</v>
      </c>
      <c r="AG21" s="62" t="n">
        <f aca="false">0</f>
        <v>0</v>
      </c>
      <c r="AH21" s="62" t="n">
        <f aca="false">0</f>
        <v>0</v>
      </c>
      <c r="AI21" s="62" t="n">
        <f aca="false">-(SUM(AF13:AH13)-SUM(AF14:AH14))</f>
        <v>-26806.9356225</v>
      </c>
      <c r="AJ21" s="62" t="n">
        <f aca="false">0</f>
        <v>0</v>
      </c>
      <c r="AK21" s="62" t="n">
        <f aca="false">0</f>
        <v>0</v>
      </c>
      <c r="AL21" s="62" t="n">
        <f aca="false">-(SUM(AI13:AK13)-SUM(AI14:AK14))</f>
        <v>-26892.53540028</v>
      </c>
      <c r="AM21" s="62" t="n">
        <f aca="false">0</f>
        <v>0</v>
      </c>
      <c r="AN21" s="62" t="n">
        <f aca="false">0</f>
        <v>0</v>
      </c>
      <c r="AO21" s="1"/>
      <c r="AP21" s="1"/>
      <c r="AQ21" s="1"/>
      <c r="AR21" s="1"/>
      <c r="AS21" s="1"/>
      <c r="AT21" s="1"/>
      <c r="AU21" s="1"/>
      <c r="AV21" s="1"/>
    </row>
    <row r="22" customFormat="false" ht="15" hidden="false" customHeight="false" outlineLevel="0" collapsed="false">
      <c r="A22" s="1"/>
      <c r="B22" s="63" t="s">
        <v>553</v>
      </c>
      <c r="C22" s="64" t="n">
        <f aca="false">C15+C16+C17+C18+C19+C20+C21</f>
        <v>-591387.5</v>
      </c>
      <c r="D22" s="64" t="n">
        <f aca="false">D15+D16+D17+D18+D19+D20+D21</f>
        <v>0</v>
      </c>
      <c r="E22" s="64" t="n">
        <f aca="false">E15+E16+E17+E18+E19+E20+E21</f>
        <v>-204670.833333333</v>
      </c>
      <c r="F22" s="64" t="n">
        <f aca="false">F15+F16+F17+F18+F19+F20+F21</f>
        <v>-145068.2088</v>
      </c>
      <c r="G22" s="64" t="n">
        <f aca="false">G15+G16+G17+G18+G19+G20+G21</f>
        <v>-133024.2632</v>
      </c>
      <c r="H22" s="64" t="n">
        <f aca="false">H15+H16+H17+H18+H19+H20+H21</f>
        <v>-146846.372757576</v>
      </c>
      <c r="I22" s="64" t="n">
        <f aca="false">I15+I16+I17+I18+I19+I20+I21</f>
        <v>-149382.211630303</v>
      </c>
      <c r="J22" s="64" t="n">
        <f aca="false">J15+J16+J17+J18+J19+J20+J21</f>
        <v>-148033.181178788</v>
      </c>
      <c r="K22" s="64" t="n">
        <f aca="false">K15+K16+K17+K18+K19+K20+K21</f>
        <v>-140859.404978788</v>
      </c>
      <c r="L22" s="64" t="n">
        <f aca="false">L15+L16+L17+L18+L19+L20+L21</f>
        <v>-129032.788084849</v>
      </c>
      <c r="M22" s="64" t="n">
        <f aca="false">M15+M16+M17+M18+M19+M20+M21</f>
        <v>-111161.286109091</v>
      </c>
      <c r="N22" s="64" t="n">
        <f aca="false">N15+N16+N17+N18+N19+N20+N21</f>
        <v>-114423.887730303</v>
      </c>
      <c r="O22" s="64" t="n">
        <f aca="false">O15+O16+O17+O18+O19+O20+O21</f>
        <v>-99080.6015363637</v>
      </c>
      <c r="P22" s="64" t="n">
        <f aca="false">P15+P16+P17+P18+P19+P20+P21</f>
        <v>-111203.9254</v>
      </c>
      <c r="Q22" s="64" t="n">
        <f aca="false">Q15+Q16+Q17+Q18+Q19+Q20+Q21</f>
        <v>-123324.551887273</v>
      </c>
      <c r="R22" s="64" t="n">
        <f aca="false">R15+R16+R17+R18+R19+R20+R21</f>
        <v>-70403.718484</v>
      </c>
      <c r="S22" s="64" t="n">
        <f aca="false">S15+S16+S17+S18+S19+S20+S21</f>
        <v>-70403.718484</v>
      </c>
      <c r="T22" s="64" t="n">
        <f aca="false">T15+T16+T17+T18+T19+T20+T21</f>
        <v>-92982.672442</v>
      </c>
      <c r="U22" s="64" t="n">
        <f aca="false">U15+U16+U17+U18+U19+U20+U21</f>
        <v>-70792.8083829999</v>
      </c>
      <c r="V22" s="64" t="n">
        <f aca="false">V15+V16+V17+V18+V19+V20+V21</f>
        <v>-70792.8083829999</v>
      </c>
      <c r="W22" s="64" t="n">
        <f aca="false">W15+W16+W17+W18+W19+W20+W21</f>
        <v>-92558.210734</v>
      </c>
      <c r="X22" s="64" t="n">
        <f aca="false">X15+X16+X17+X18+X19+X20+X21</f>
        <v>-70403.718484</v>
      </c>
      <c r="Y22" s="64" t="n">
        <f aca="false">Y15+Y16+Y17+Y18+Y19+Y20+Y21</f>
        <v>-70403.718484</v>
      </c>
      <c r="Z22" s="64" t="n">
        <f aca="false">Z15+Z16+Z17+Z18+Z19+Z20+Z21</f>
        <v>-109137.513727</v>
      </c>
      <c r="AA22" s="64" t="n">
        <f aca="false">AA15+AA16+AA17+AA18+AA19+AA20+AA21</f>
        <v>-86912.2778589999</v>
      </c>
      <c r="AB22" s="64" t="n">
        <f aca="false">AB15+AB16+AB17+AB18+AB19+AB20+AB21</f>
        <v>-104468.999734</v>
      </c>
      <c r="AC22" s="64" t="n">
        <f aca="false">AC15+AC16+AC17+AC18+AC19+AC20+AC21</f>
        <v>-120977.1827836</v>
      </c>
      <c r="AD22" s="64" t="n">
        <f aca="false">AD15+AD16+AD17+AD18+AD19+AD20+AD21</f>
        <v>-56942.9743656401</v>
      </c>
      <c r="AE22" s="64" t="n">
        <f aca="false">AE15+AE16+AE17+AE18+AE19+AE20+AE21</f>
        <v>-56942.97436564</v>
      </c>
      <c r="AF22" s="64" t="n">
        <f aca="false">AF15+AF16+AF17+AF18+AF19+AF20+AF21</f>
        <v>-84263.50865482</v>
      </c>
      <c r="AG22" s="64" t="n">
        <f aca="false">AG15+AG16+AG17+AG18+AG19+AG20+AG21</f>
        <v>-57413.7731434301</v>
      </c>
      <c r="AH22" s="64" t="n">
        <f aca="false">AH15+AH16+AH17+AH18+AH19+AH20+AH21</f>
        <v>-57413.77314343</v>
      </c>
      <c r="AI22" s="64" t="n">
        <f aca="false">AI15+AI16+AI17+AI18+AI19+AI20+AI21</f>
        <v>-83749.9099881401</v>
      </c>
      <c r="AJ22" s="64" t="n">
        <f aca="false">AJ15+AJ16+AJ17+AJ18+AJ19+AJ20+AJ21</f>
        <v>-56942.97436564</v>
      </c>
      <c r="AK22" s="64" t="n">
        <f aca="false">AK15+AK16+AK17+AK18+AK19+AK20+AK21</f>
        <v>-56942.9743656401</v>
      </c>
      <c r="AL22" s="64" t="n">
        <f aca="false">AL15+AL16+AL17+AL18+AL19+AL20+AL21</f>
        <v>11285.2371090801</v>
      </c>
      <c r="AM22" s="64" t="n">
        <f aca="false">AM15+AM16+AM17+AM18+AM19+AM20+AM21</f>
        <v>38177.77250936</v>
      </c>
      <c r="AN22" s="64" t="n">
        <f aca="false">AN15+AN16+AN17+AN18+AN19+AN20+AN21</f>
        <v>139337.93188436</v>
      </c>
      <c r="AO22" s="1"/>
      <c r="AP22" s="1"/>
      <c r="AQ22" s="1"/>
      <c r="AR22" s="1"/>
      <c r="AS22" s="1"/>
      <c r="AT22" s="1"/>
      <c r="AU22" s="1"/>
      <c r="AV22" s="1"/>
    </row>
    <row r="23" customFormat="false" ht="15" hidden="false" customHeight="false" outlineLevel="0" collapsed="false">
      <c r="A23" s="1"/>
      <c r="B23" s="65" t="s">
        <v>554</v>
      </c>
      <c r="C23" s="66" t="n">
        <f aca="false">0+C22</f>
        <v>-591387.5</v>
      </c>
      <c r="D23" s="66" t="n">
        <f aca="false">C23+D22</f>
        <v>-591387.5</v>
      </c>
      <c r="E23" s="66" t="n">
        <f aca="false">D23+E22</f>
        <v>-796058.333333334</v>
      </c>
      <c r="F23" s="66" t="n">
        <f aca="false">E23+F22</f>
        <v>-941126.542133334</v>
      </c>
      <c r="G23" s="66" t="n">
        <f aca="false">F23+G22</f>
        <v>-1074150.80533333</v>
      </c>
      <c r="H23" s="66" t="n">
        <f aca="false">G23+H22</f>
        <v>-1220997.17809091</v>
      </c>
      <c r="I23" s="66" t="n">
        <f aca="false">H23+I22</f>
        <v>-1370379.38972121</v>
      </c>
      <c r="J23" s="66" t="n">
        <f aca="false">I23+J22</f>
        <v>-1518412.5709</v>
      </c>
      <c r="K23" s="66" t="n">
        <f aca="false">J23+K22</f>
        <v>-1659271.97587879</v>
      </c>
      <c r="L23" s="66" t="n">
        <f aca="false">K23+L22</f>
        <v>-1788304.76396364</v>
      </c>
      <c r="M23" s="66" t="n">
        <f aca="false">L23+M22</f>
        <v>-1899466.05007273</v>
      </c>
      <c r="N23" s="66" t="n">
        <f aca="false">M23+N22</f>
        <v>-2013889.93780303</v>
      </c>
      <c r="O23" s="66" t="n">
        <f aca="false">N23+O22</f>
        <v>-2112970.53933939</v>
      </c>
      <c r="P23" s="66" t="n">
        <f aca="false">O23+P22</f>
        <v>-2224174.46473939</v>
      </c>
      <c r="Q23" s="66" t="n">
        <f aca="false">P23+Q22</f>
        <v>-2347499.01662667</v>
      </c>
      <c r="R23" s="66" t="n">
        <f aca="false">Q23+R22</f>
        <v>-2417902.73511067</v>
      </c>
      <c r="S23" s="66" t="n">
        <f aca="false">R23+S22</f>
        <v>-2488306.45359467</v>
      </c>
      <c r="T23" s="66" t="n">
        <f aca="false">S23+T22</f>
        <v>-2581289.12603667</v>
      </c>
      <c r="U23" s="66" t="n">
        <f aca="false">T23+U22</f>
        <v>-2652081.93441967</v>
      </c>
      <c r="V23" s="66" t="n">
        <f aca="false">U23+V22</f>
        <v>-2722874.74280267</v>
      </c>
      <c r="W23" s="66" t="n">
        <f aca="false">V23+W22</f>
        <v>-2815432.95353667</v>
      </c>
      <c r="X23" s="66" t="n">
        <f aca="false">W23+X22</f>
        <v>-2885836.67202067</v>
      </c>
      <c r="Y23" s="66" t="n">
        <f aca="false">X23+Y22</f>
        <v>-2956240.39050467</v>
      </c>
      <c r="Z23" s="66" t="n">
        <f aca="false">Y23+Z22</f>
        <v>-3065377.90423167</v>
      </c>
      <c r="AA23" s="66" t="n">
        <f aca="false">Z23+AA22</f>
        <v>-3152290.18209067</v>
      </c>
      <c r="AB23" s="66" t="n">
        <f aca="false">AA23+AB22</f>
        <v>-3256759.18182467</v>
      </c>
      <c r="AC23" s="66" t="n">
        <f aca="false">AB23+AC22</f>
        <v>-3377736.36460827</v>
      </c>
      <c r="AD23" s="66" t="n">
        <f aca="false">AC23+AD22</f>
        <v>-3434679.33897391</v>
      </c>
      <c r="AE23" s="66" t="n">
        <f aca="false">AD23+AE22</f>
        <v>-3491622.31333955</v>
      </c>
      <c r="AF23" s="66" t="n">
        <f aca="false">AE23+AF22</f>
        <v>-3575885.82199437</v>
      </c>
      <c r="AG23" s="66" t="n">
        <f aca="false">AF23+AG22</f>
        <v>-3633299.5951378</v>
      </c>
      <c r="AH23" s="66" t="n">
        <f aca="false">AG23+AH22</f>
        <v>-3690713.36828123</v>
      </c>
      <c r="AI23" s="66" t="n">
        <f aca="false">AH23+AI22</f>
        <v>-3774463.27826937</v>
      </c>
      <c r="AJ23" s="66" t="n">
        <f aca="false">AI23+AJ22</f>
        <v>-3831406.25263501</v>
      </c>
      <c r="AK23" s="66" t="n">
        <f aca="false">AJ23+AK22</f>
        <v>-3888349.22700065</v>
      </c>
      <c r="AL23" s="66" t="n">
        <f aca="false">AK23+AL22</f>
        <v>-3877063.98989157</v>
      </c>
      <c r="AM23" s="66" t="n">
        <f aca="false">AL23+AM22</f>
        <v>-3838886.21738221</v>
      </c>
      <c r="AN23" s="66" t="n">
        <f aca="false">AM23+AN22</f>
        <v>-3699548.28549785</v>
      </c>
      <c r="AO23" s="1"/>
      <c r="AP23" s="1"/>
      <c r="AQ23" s="1"/>
      <c r="AR23" s="1"/>
      <c r="AS23" s="1"/>
      <c r="AT23" s="1"/>
      <c r="AU23" s="1"/>
      <c r="AV23" s="1"/>
    </row>
    <row r="24" customFormat="false" ht="15" hidden="true" customHeight="false" outlineLevel="0" collapsed="false">
      <c r="A24" s="1"/>
      <c r="B24" s="47" t="s">
        <v>555</v>
      </c>
      <c r="C24" s="1" t="n">
        <f aca="false">IF(1&gt;C25,IF(C23&gt;=0,1,0),0)</f>
        <v>0</v>
      </c>
      <c r="D24" s="1" t="n">
        <f aca="false">IF(2&gt;C25,IF(D23&gt;=0,1,0),0)</f>
        <v>0</v>
      </c>
      <c r="E24" s="1" t="n">
        <f aca="false">IF(3&gt;C25,IF(E23&gt;=0,1,0),0)</f>
        <v>0</v>
      </c>
      <c r="F24" s="1" t="n">
        <f aca="false">IF(4&gt;C25,IF(F23&gt;=0,1,0),0)</f>
        <v>0</v>
      </c>
      <c r="G24" s="1" t="n">
        <f aca="false">IF(5&gt;C25,IF(G23&gt;=0,1,0),0)</f>
        <v>0</v>
      </c>
      <c r="H24" s="1" t="n">
        <f aca="false">IF(6&gt;C25,IF(H23&gt;=0,1,0),0)</f>
        <v>0</v>
      </c>
      <c r="I24" s="1" t="n">
        <f aca="false">IF(7&gt;C25,IF(I23&gt;=0,1,0),0)</f>
        <v>0</v>
      </c>
      <c r="J24" s="1" t="n">
        <f aca="false">IF(8&gt;C25,IF(J23&gt;=0,1,0),0)</f>
        <v>0</v>
      </c>
      <c r="K24" s="1" t="n">
        <f aca="false">IF(9&gt;C25,IF(K23&gt;=0,1,0),0)</f>
        <v>0</v>
      </c>
      <c r="L24" s="1" t="n">
        <f aca="false">IF(10&gt;C25,IF(L23&gt;=0,1,0),0)</f>
        <v>0</v>
      </c>
      <c r="M24" s="1" t="n">
        <f aca="false">IF(11&gt;C25,IF(M23&gt;=0,1,0),0)</f>
        <v>0</v>
      </c>
      <c r="N24" s="1" t="n">
        <f aca="false">IF(12&gt;C25,IF(N23&gt;=0,1,0),0)</f>
        <v>0</v>
      </c>
      <c r="O24" s="1" t="n">
        <f aca="false">IF(13&gt;C25,IF(O23&gt;=0,1,0),0)</f>
        <v>0</v>
      </c>
      <c r="P24" s="1" t="n">
        <f aca="false">IF(14&gt;C25,IF(P23&gt;=0,1,0),0)</f>
        <v>0</v>
      </c>
      <c r="Q24" s="1" t="n">
        <f aca="false">IF(15&gt;C25,IF(Q23&gt;=0,1,0),0)</f>
        <v>0</v>
      </c>
      <c r="R24" s="1" t="n">
        <f aca="false">IF(16&gt;C25,IF(R23&gt;=0,1,0),0)</f>
        <v>0</v>
      </c>
      <c r="S24" s="1" t="n">
        <f aca="false">IF(17&gt;C25,IF(S23&gt;=0,1,0),0)</f>
        <v>0</v>
      </c>
      <c r="T24" s="1" t="n">
        <f aca="false">IF(18&gt;C25,IF(T23&gt;=0,1,0),0)</f>
        <v>0</v>
      </c>
      <c r="U24" s="1" t="n">
        <f aca="false">IF(19&gt;C25,IF(U23&gt;=0,1,0),0)</f>
        <v>0</v>
      </c>
      <c r="V24" s="1" t="n">
        <f aca="false">IF(20&gt;C25,IF(V23&gt;=0,1,0),0)</f>
        <v>0</v>
      </c>
      <c r="W24" s="1" t="n">
        <f aca="false">IF(21&gt;C25,IF(W23&gt;=0,1,0),0)</f>
        <v>0</v>
      </c>
      <c r="X24" s="1" t="n">
        <f aca="false">IF(22&gt;C25,IF(X23&gt;=0,1,0),0)</f>
        <v>0</v>
      </c>
      <c r="Y24" s="1" t="n">
        <f aca="false">IF(23&gt;C25,IF(Y23&gt;=0,1,0),0)</f>
        <v>0</v>
      </c>
      <c r="Z24" s="1" t="n">
        <f aca="false">IF(24&gt;C25,IF(Z23&gt;=0,1,0),0)</f>
        <v>0</v>
      </c>
      <c r="AA24" s="1" t="n">
        <f aca="false">IF(25&gt;C25,IF(AA23&gt;=0,1,0),0)</f>
        <v>0</v>
      </c>
      <c r="AB24" s="1" t="n">
        <f aca="false">IF(26&gt;C25,IF(AB23&gt;=0,1,0),0)</f>
        <v>0</v>
      </c>
      <c r="AC24" s="1" t="n">
        <f aca="false">IF(27&gt;C25,IF(AC23&gt;=0,1,0),0)</f>
        <v>0</v>
      </c>
      <c r="AD24" s="1" t="n">
        <f aca="false">IF(28&gt;C25,IF(AD23&gt;=0,1,0),0)</f>
        <v>0</v>
      </c>
      <c r="AE24" s="1" t="n">
        <f aca="false">IF(29&gt;C25,IF(AE23&gt;=0,1,0),0)</f>
        <v>0</v>
      </c>
      <c r="AF24" s="1" t="n">
        <f aca="false">IF(30&gt;C25,IF(AF23&gt;=0,1,0),0)</f>
        <v>0</v>
      </c>
      <c r="AG24" s="1" t="n">
        <f aca="false">IF(31&gt;C25,IF(AG23&gt;=0,1,0),0)</f>
        <v>0</v>
      </c>
      <c r="AH24" s="1" t="n">
        <f aca="false">IF(32&gt;C25,IF(AH23&gt;=0,1,0),0)</f>
        <v>0</v>
      </c>
      <c r="AI24" s="1" t="n">
        <f aca="false">IF(33&gt;C25,IF(AI23&gt;=0,1,0),0)</f>
        <v>0</v>
      </c>
      <c r="AJ24" s="1" t="n">
        <f aca="false">IF(34&gt;C25,IF(AJ23&gt;=0,1,0),0)</f>
        <v>0</v>
      </c>
      <c r="AK24" s="1" t="n">
        <f aca="false">IF(35&gt;C25,IF(AK23&gt;=0,1,0),0)</f>
        <v>0</v>
      </c>
      <c r="AL24" s="1" t="n">
        <f aca="false">IF(36&gt;C25,IF(AL23&gt;=0,1,0),0)</f>
        <v>0</v>
      </c>
      <c r="AM24" s="1" t="n">
        <f aca="false">IF(37&gt;C25,IF(AM23&gt;=0,1,0),0)</f>
        <v>0</v>
      </c>
      <c r="AN24" s="1" t="n">
        <f aca="false">IF(38&gt;C25,IF(AN23&gt;=0,1,0),0)</f>
        <v>0</v>
      </c>
      <c r="AO24" s="1"/>
      <c r="AP24" s="1"/>
      <c r="AQ24" s="1"/>
      <c r="AR24" s="1"/>
      <c r="AS24" s="1"/>
      <c r="AT24" s="1"/>
      <c r="AU24" s="1"/>
      <c r="AV24" s="1"/>
    </row>
    <row r="25" customFormat="false" ht="15" hidden="true" customHeight="false" outlineLevel="0" collapsed="false">
      <c r="A25" s="1"/>
      <c r="B25" s="47" t="s">
        <v>556</v>
      </c>
      <c r="C25" s="1" t="n">
        <f aca="false">MATCH(MIN(C23:AN23),C23:AN23,0)</f>
        <v>35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customFormat="false" ht="24" hidden="false" customHeight="true" outlineLevel="0" collapsed="false">
      <c r="A26" s="1"/>
      <c r="B26" s="10" t="s">
        <v>557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customFormat="false" ht="15" hidden="false" customHeight="false" outlineLevel="0" collapsed="false">
      <c r="A27" s="1"/>
      <c r="B27" s="71" t="s">
        <v>558</v>
      </c>
      <c r="C27" s="23" t="n">
        <f aca="false">-MIN(C23:AN23)</f>
        <v>3888349.22700065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customFormat="false" ht="15" hidden="false" customHeight="false" outlineLevel="0" collapsed="false">
      <c r="A28" s="1"/>
      <c r="B28" s="71" t="s">
        <v>559</v>
      </c>
      <c r="C28" s="28" t="n">
        <f aca="false">-MIN(C23:AN23)*a_cur_div/a_fx_jpy_per_usd</f>
        <v>25922.3281800043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customFormat="false" ht="15" hidden="false" customHeight="false" outlineLevel="0" collapsed="false">
      <c r="A29" s="1"/>
      <c r="B29" s="71" t="s">
        <v>560</v>
      </c>
      <c r="C29" s="72" t="str">
        <f aca="false">IF(SUM(C24:AN24)=0,"n/a",MATCH(1,C24:AN24,0)+-2)</f>
        <v>n/a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customFormat="false" ht="15" hidden="false" customHeight="false" outlineLevel="0" collapsed="false">
      <c r="A30" s="1"/>
      <c r="B30" s="71" t="s">
        <v>561</v>
      </c>
      <c r="C30" s="23" t="n">
        <f aca="false">AN23</f>
        <v>-3699548.28549785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customFormat="false" ht="15" hidden="false" customHeight="false" outlineLevel="0" collapsed="false">
      <c r="A31" s="1"/>
      <c r="B31" s="71" t="s">
        <v>562</v>
      </c>
      <c r="C31" s="23" t="n">
        <f aca="false">SUM('PL Monthly'!C35:AL35)</f>
        <v>-3015200.21537217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customFormat="false" ht="15" hidden="false" customHeight="false" outlineLevel="0" collapsed="false">
      <c r="A32" s="1"/>
      <c r="B32" s="71" t="s">
        <v>563</v>
      </c>
      <c r="C32" s="23" t="n">
        <f aca="false">SUM('PL Monthly'!C35:AL35)-a_act_capex_total/a_cur_div</f>
        <v>-3534400.21537217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customFormat="false" ht="15" hidden="false" customHeight="false" outlineLevel="0" collapsed="false">
      <c r="A33" s="1"/>
      <c r="B33" s="71" t="s">
        <v>564</v>
      </c>
      <c r="C33" s="24" t="n">
        <f aca="false">(a_act_asp_jpy-a_act_referral_pu-a_fba_fee_net*(1+a_jct_rate_standard))/a_act_asp_jpy</f>
        <v>0.777428571428572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customFormat="false" ht="15" hidden="false" customHeight="false" outlineLevel="0" collapsed="false">
      <c r="A34" s="1"/>
      <c r="B34" s="71" t="s">
        <v>565</v>
      </c>
      <c r="C34" s="24" t="n">
        <f aca="false">IF(SUM('PL Monthly'!I12:N12)=0,0,(SUM('PL Monthly'!I12:N12)+SUM('PL Monthly'!I18:N18)+SUM('PL Monthly'!I19:N19)+SUM('PL Monthly'!I20:N20)+SUM('PL Monthly'!I21:N21)+SUM('PL Monthly'!I23:N23)+SUM('PL Monthly'!I24:N24)+SUM('PL Monthly'!I25:N25)+SUM('PL Monthly'!I26:N26)+SUM('PL Monthly'!I27:N27)+SUM('PL Monthly'!I29:N29))/SUM('PL Monthly'!I12:N12))</f>
        <v>0.147868719741686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customFormat="false" ht="15" hidden="false" customHeight="false" outlineLevel="0" collapsed="false">
      <c r="A35" s="1"/>
      <c r="B35" s="71" t="s">
        <v>566</v>
      </c>
      <c r="C35" s="73" t="n">
        <f aca="false">AN11</f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customFormat="false" ht="15" hidden="false" customHeight="false" outlineLevel="0" collapsed="false">
      <c r="A36" s="1"/>
      <c r="B36" s="71" t="s">
        <v>567</v>
      </c>
      <c r="C36" s="23" t="n">
        <f aca="false">AN11*a_act_basis_pu/a_cur_div</f>
        <v>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</sheetData>
  <mergeCells count="1">
    <mergeCell ref="B26:N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27A0"/>
    <pageSetUpPr fitToPage="false"/>
  </sheetPr>
  <dimension ref="A1:P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8" min="3" style="0" width="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4" t="str">
        <f aca="false">"Currency: "&amp;a_currency&amp;"  ·  switch on the Dashboard"</f>
        <v>Currency: JPY  ·  switch on the Dashboard</v>
      </c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30" hidden="false" customHeight="true" outlineLevel="0" collapsed="false">
      <c r="A4" s="1"/>
      <c r="B4" s="3" t="s">
        <v>568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5" hidden="false" customHeight="false" outlineLevel="0" collapsed="false">
      <c r="A5" s="1"/>
      <c r="B5" s="25" t="s">
        <v>569</v>
      </c>
      <c r="C5" s="7"/>
      <c r="D5" s="7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15" hidden="false" customHeight="false" outlineLevel="0" collapsed="false">
      <c r="A7" s="1"/>
      <c r="B7" s="17" t="s">
        <v>570</v>
      </c>
      <c r="C7" s="18" t="s">
        <v>571</v>
      </c>
      <c r="D7" s="18" t="s">
        <v>572</v>
      </c>
      <c r="E7" s="18" t="s">
        <v>573</v>
      </c>
      <c r="F7" s="18" t="s">
        <v>574</v>
      </c>
      <c r="G7" s="18" t="s">
        <v>575</v>
      </c>
      <c r="H7" s="18" t="s">
        <v>576</v>
      </c>
      <c r="I7" s="1"/>
      <c r="J7" s="1"/>
      <c r="K7" s="1"/>
      <c r="L7" s="1"/>
      <c r="M7" s="1"/>
      <c r="N7" s="1"/>
      <c r="O7" s="1"/>
      <c r="P7" s="1"/>
    </row>
    <row r="8" customFormat="false" ht="15" hidden="false" customHeight="false" outlineLevel="0" collapsed="false">
      <c r="A8" s="1"/>
      <c r="B8" s="19" t="s">
        <v>577</v>
      </c>
      <c r="C8" s="62" t="n">
        <f aca="false">-3683843.26759786/a_cur_div</f>
        <v>-3683843.26759786</v>
      </c>
      <c r="D8" s="1" t="s">
        <v>25</v>
      </c>
      <c r="E8" s="62" t="n">
        <f aca="false">4466141.33420326/a_cur_div</f>
        <v>4466141.33420326</v>
      </c>
      <c r="F8" s="62" t="n">
        <f aca="false">-2346557.16314647/a_cur_div</f>
        <v>-2346557.16314647</v>
      </c>
      <c r="G8" s="1" t="s">
        <v>25</v>
      </c>
      <c r="H8" s="62" t="n">
        <f aca="false">3318311.55604935/a_cur_div</f>
        <v>3318311.55604935</v>
      </c>
      <c r="I8" s="1"/>
      <c r="J8" s="1"/>
      <c r="K8" s="1"/>
      <c r="L8" s="1"/>
      <c r="M8" s="1"/>
      <c r="N8" s="1"/>
      <c r="O8" s="1"/>
      <c r="P8" s="1"/>
    </row>
    <row r="9" customFormat="false" ht="15" hidden="false" customHeight="false" outlineLevel="0" collapsed="false">
      <c r="A9" s="1"/>
      <c r="B9" s="30" t="s">
        <v>74</v>
      </c>
      <c r="C9" s="61" t="n">
        <f aca="false">-3194960.15076052/a_cur_div</f>
        <v>-3194960.15076052</v>
      </c>
      <c r="D9" s="74" t="s">
        <v>25</v>
      </c>
      <c r="E9" s="61" t="n">
        <f aca="false">3897930.35216755/a_cur_div</f>
        <v>3897930.35216755</v>
      </c>
      <c r="F9" s="61" t="n">
        <f aca="false">-2835440.27998382/a_cur_div</f>
        <v>-2835440.27998382</v>
      </c>
      <c r="G9" s="74" t="s">
        <v>25</v>
      </c>
      <c r="H9" s="61" t="n">
        <f aca="false">3902883.99510084/a_cur_div</f>
        <v>3902883.99510084</v>
      </c>
      <c r="I9" s="1"/>
      <c r="J9" s="1"/>
      <c r="K9" s="1"/>
      <c r="L9" s="1"/>
      <c r="M9" s="1"/>
      <c r="N9" s="1"/>
      <c r="O9" s="1"/>
      <c r="P9" s="1"/>
    </row>
    <row r="10" customFormat="false" ht="15" hidden="false" customHeight="false" outlineLevel="0" collapsed="false">
      <c r="A10" s="1"/>
      <c r="B10" s="19" t="s">
        <v>578</v>
      </c>
      <c r="C10" s="62" t="n">
        <f aca="false">-2297766.39774717/a_cur_div</f>
        <v>-2297766.39774717</v>
      </c>
      <c r="D10" s="1" t="s">
        <v>25</v>
      </c>
      <c r="E10" s="62" t="n">
        <f aca="false">3196178.12981315/a_cur_div</f>
        <v>3196178.12981315</v>
      </c>
      <c r="F10" s="62" t="n">
        <f aca="false">-3732634.03299717/a_cur_div</f>
        <v>-3732634.03299717</v>
      </c>
      <c r="G10" s="1" t="s">
        <v>25</v>
      </c>
      <c r="H10" s="62" t="n">
        <f aca="false">4580520.32418815/a_cur_div</f>
        <v>4580520.32418815</v>
      </c>
      <c r="I10" s="1"/>
      <c r="J10" s="1"/>
      <c r="K10" s="1"/>
      <c r="L10" s="1"/>
      <c r="M10" s="1"/>
      <c r="N10" s="1"/>
      <c r="O10" s="1"/>
      <c r="P10" s="1"/>
    </row>
    <row r="11" customFormat="false" ht="15" hidden="false" customHeight="false" outlineLevel="0" collapsed="false">
      <c r="A11" s="1"/>
      <c r="B11" s="30" t="s">
        <v>579</v>
      </c>
      <c r="C11" s="61" t="n">
        <f aca="false">-2497779.46537217/a_cur_div</f>
        <v>-2497779.46537217</v>
      </c>
      <c r="D11" s="74" t="s">
        <v>25</v>
      </c>
      <c r="E11" s="61" t="n">
        <f aca="false">3428577.41450065/a_cur_div</f>
        <v>3428577.41450065</v>
      </c>
      <c r="F11" s="61" t="n">
        <f aca="false">-3532620.96537217/a_cur_div</f>
        <v>-3532620.96537217</v>
      </c>
      <c r="G11" s="74" t="s">
        <v>25</v>
      </c>
      <c r="H11" s="61" t="n">
        <f aca="false">4356052.11489157/a_cur_div</f>
        <v>4356052.11489157</v>
      </c>
      <c r="I11" s="1"/>
      <c r="J11" s="1"/>
      <c r="K11" s="1"/>
      <c r="L11" s="1"/>
      <c r="M11" s="1"/>
      <c r="N11" s="1"/>
      <c r="O11" s="1"/>
      <c r="P11" s="1"/>
    </row>
    <row r="12" customFormat="false" ht="15" hidden="false" customHeight="false" outlineLevel="0" collapsed="false">
      <c r="A12" s="1"/>
      <c r="B12" s="19" t="s">
        <v>83</v>
      </c>
      <c r="C12" s="62" t="n">
        <f aca="false">-3014223.77034186/a_cur_div</f>
        <v>-3014223.77034186</v>
      </c>
      <c r="D12" s="1" t="s">
        <v>25</v>
      </c>
      <c r="E12" s="62" t="n">
        <f aca="false">3885544.65697034/a_cur_div</f>
        <v>3885544.65697034</v>
      </c>
      <c r="F12" s="62" t="n">
        <f aca="false">-3016163.0342055/a_cur_div</f>
        <v>-3016163.0342055</v>
      </c>
      <c r="G12" s="1" t="s">
        <v>25</v>
      </c>
      <c r="H12" s="62" t="n">
        <f aca="false">3891140.17083398/a_cur_div</f>
        <v>3891140.17083398</v>
      </c>
      <c r="I12" s="1"/>
      <c r="J12" s="1"/>
      <c r="K12" s="1"/>
      <c r="L12" s="1"/>
      <c r="M12" s="1"/>
      <c r="N12" s="1"/>
      <c r="O12" s="1"/>
      <c r="P12" s="1"/>
    </row>
    <row r="13" customFormat="false" ht="15" hidden="false" customHeight="false" outlineLevel="0" collapsed="false">
      <c r="A13" s="1"/>
      <c r="B13" s="30" t="s">
        <v>316</v>
      </c>
      <c r="C13" s="61" t="n">
        <f aca="false">-3003202.83419517/a_cur_div</f>
        <v>-3003202.83419517</v>
      </c>
      <c r="D13" s="74" t="s">
        <v>25</v>
      </c>
      <c r="E13" s="61" t="n">
        <f aca="false">3782484.49037277/a_cur_div</f>
        <v>3782484.49037277</v>
      </c>
      <c r="F13" s="61" t="n">
        <f aca="false">-3027206.83054917/a_cur_div</f>
        <v>-3027206.83054917</v>
      </c>
      <c r="G13" s="74" t="s">
        <v>25</v>
      </c>
      <c r="H13" s="61" t="n">
        <f aca="false">4020785.28800137/a_cur_div</f>
        <v>4020785.28800137</v>
      </c>
      <c r="I13" s="1"/>
      <c r="J13" s="1"/>
      <c r="K13" s="1"/>
      <c r="L13" s="1"/>
      <c r="M13" s="1"/>
      <c r="N13" s="1"/>
      <c r="O13" s="1"/>
      <c r="P13" s="1"/>
    </row>
    <row r="14" customFormat="false" ht="15" hidden="false" customHeight="false" outlineLevel="0" collapsed="false">
      <c r="A14" s="1"/>
      <c r="B14" s="19" t="s">
        <v>580</v>
      </c>
      <c r="C14" s="62" t="n">
        <f aca="false">-3015200.21537217/a_cur_div</f>
        <v>-3015200.21537217</v>
      </c>
      <c r="D14" s="1" t="s">
        <v>25</v>
      </c>
      <c r="E14" s="62" t="n">
        <f aca="false">3888349.22700065/a_cur_div</f>
        <v>3888349.22700065</v>
      </c>
      <c r="F14" s="62" t="n">
        <f aca="false">-3113337.48363035/a_cur_div</f>
        <v>-3113337.48363035</v>
      </c>
      <c r="G14" s="1" t="s">
        <v>25</v>
      </c>
      <c r="H14" s="62" t="n">
        <f aca="false">3972867.00315283/a_cur_div</f>
        <v>3972867.00315283</v>
      </c>
      <c r="I14" s="1"/>
      <c r="J14" s="1"/>
      <c r="K14" s="1"/>
      <c r="L14" s="1"/>
      <c r="M14" s="1"/>
      <c r="N14" s="1"/>
      <c r="O14" s="1"/>
      <c r="P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P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5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30" hidden="false" customHeight="true" outlineLevel="0" collapsed="false">
      <c r="A4" s="1"/>
      <c r="B4" s="3" t="s">
        <v>581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5" hidden="false" customHeight="false" outlineLevel="0" collapsed="false">
      <c r="A5" s="1"/>
      <c r="B5" s="25" t="s">
        <v>582</v>
      </c>
      <c r="C5" s="7"/>
      <c r="D5" s="7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15" hidden="false" customHeight="false" outlineLevel="0" collapsed="false">
      <c r="A7" s="1"/>
      <c r="B7" s="17" t="s">
        <v>583</v>
      </c>
      <c r="C7" s="18" t="s">
        <v>56</v>
      </c>
      <c r="D7" s="18" t="s">
        <v>584</v>
      </c>
      <c r="E7" s="18" t="s">
        <v>585</v>
      </c>
      <c r="F7" s="18" t="s">
        <v>60</v>
      </c>
      <c r="G7" s="18" t="s">
        <v>61</v>
      </c>
      <c r="H7" s="18" t="s">
        <v>586</v>
      </c>
      <c r="I7" s="1"/>
      <c r="J7" s="1"/>
      <c r="K7" s="1"/>
      <c r="L7" s="1"/>
      <c r="M7" s="1"/>
      <c r="N7" s="1"/>
      <c r="O7" s="1"/>
      <c r="P7" s="1"/>
    </row>
    <row r="8" customFormat="false" ht="24" hidden="false" customHeight="true" outlineLevel="0" collapsed="false">
      <c r="A8" s="1"/>
      <c r="B8" s="19" t="s">
        <v>174</v>
      </c>
      <c r="C8" s="2" t="s">
        <v>175</v>
      </c>
      <c r="D8" s="2" t="s">
        <v>587</v>
      </c>
      <c r="E8" s="35" t="s">
        <v>177</v>
      </c>
      <c r="F8" s="2" t="s">
        <v>67</v>
      </c>
      <c r="G8" s="2" t="s">
        <v>68</v>
      </c>
      <c r="H8" s="35"/>
      <c r="I8" s="1"/>
      <c r="J8" s="1"/>
      <c r="K8" s="1"/>
      <c r="L8" s="1"/>
      <c r="M8" s="1"/>
      <c r="N8" s="1"/>
      <c r="O8" s="1"/>
      <c r="P8" s="1"/>
    </row>
    <row r="9" customFormat="false" ht="24" hidden="false" customHeight="true" outlineLevel="0" collapsed="false">
      <c r="A9" s="1"/>
      <c r="B9" s="30" t="s">
        <v>588</v>
      </c>
      <c r="C9" s="31" t="s">
        <v>589</v>
      </c>
      <c r="D9" s="31" t="s">
        <v>587</v>
      </c>
      <c r="E9" s="37" t="s">
        <v>590</v>
      </c>
      <c r="F9" s="31" t="s">
        <v>67</v>
      </c>
      <c r="G9" s="31" t="s">
        <v>68</v>
      </c>
      <c r="H9" s="37"/>
      <c r="I9" s="1"/>
      <c r="J9" s="1"/>
      <c r="K9" s="1"/>
      <c r="L9" s="1"/>
      <c r="M9" s="1"/>
      <c r="N9" s="1"/>
      <c r="O9" s="1"/>
      <c r="P9" s="1"/>
    </row>
    <row r="10" customFormat="false" ht="24" hidden="false" customHeight="true" outlineLevel="0" collapsed="false">
      <c r="A10" s="1"/>
      <c r="B10" s="19" t="s">
        <v>591</v>
      </c>
      <c r="C10" s="2" t="s">
        <v>592</v>
      </c>
      <c r="D10" s="2" t="s">
        <v>587</v>
      </c>
      <c r="E10" s="35" t="s">
        <v>590</v>
      </c>
      <c r="F10" s="2" t="s">
        <v>67</v>
      </c>
      <c r="G10" s="2" t="s">
        <v>68</v>
      </c>
      <c r="H10" s="35"/>
      <c r="I10" s="1"/>
      <c r="J10" s="1"/>
      <c r="K10" s="1"/>
      <c r="L10" s="1"/>
      <c r="M10" s="1"/>
      <c r="N10" s="1"/>
      <c r="O10" s="1"/>
      <c r="P10" s="1"/>
    </row>
    <row r="11" customFormat="false" ht="24" hidden="false" customHeight="true" outlineLevel="0" collapsed="false">
      <c r="A11" s="1"/>
      <c r="B11" s="30" t="s">
        <v>593</v>
      </c>
      <c r="C11" s="31" t="s">
        <v>594</v>
      </c>
      <c r="D11" s="31" t="s">
        <v>587</v>
      </c>
      <c r="E11" s="37" t="s">
        <v>590</v>
      </c>
      <c r="F11" s="31" t="s">
        <v>67</v>
      </c>
      <c r="G11" s="31" t="s">
        <v>68</v>
      </c>
      <c r="H11" s="37"/>
      <c r="I11" s="1"/>
      <c r="J11" s="1"/>
      <c r="K11" s="1"/>
      <c r="L11" s="1"/>
      <c r="M11" s="1"/>
      <c r="N11" s="1"/>
      <c r="O11" s="1"/>
      <c r="P11" s="1"/>
    </row>
    <row r="12" customFormat="false" ht="24" hidden="false" customHeight="true" outlineLevel="0" collapsed="false">
      <c r="A12" s="1"/>
      <c r="B12" s="19" t="s">
        <v>291</v>
      </c>
      <c r="C12" s="2" t="s">
        <v>595</v>
      </c>
      <c r="D12" s="2" t="s">
        <v>596</v>
      </c>
      <c r="E12" s="35" t="s">
        <v>293</v>
      </c>
      <c r="F12" s="2" t="s">
        <v>73</v>
      </c>
      <c r="G12" s="2" t="s">
        <v>68</v>
      </c>
      <c r="H12" s="35"/>
      <c r="I12" s="1"/>
      <c r="J12" s="1"/>
      <c r="K12" s="1"/>
      <c r="L12" s="1"/>
      <c r="M12" s="1"/>
      <c r="N12" s="1"/>
      <c r="O12" s="1"/>
      <c r="P12" s="1"/>
    </row>
    <row r="13" customFormat="false" ht="24" hidden="false" customHeight="true" outlineLevel="0" collapsed="false">
      <c r="A13" s="1"/>
      <c r="B13" s="30" t="s">
        <v>279</v>
      </c>
      <c r="C13" s="31" t="s">
        <v>597</v>
      </c>
      <c r="D13" s="31" t="s">
        <v>596</v>
      </c>
      <c r="E13" s="37" t="s">
        <v>281</v>
      </c>
      <c r="F13" s="31" t="s">
        <v>73</v>
      </c>
      <c r="G13" s="31" t="s">
        <v>68</v>
      </c>
      <c r="H13" s="37"/>
      <c r="I13" s="1"/>
      <c r="J13" s="1"/>
      <c r="K13" s="1"/>
      <c r="L13" s="1"/>
      <c r="M13" s="1"/>
      <c r="N13" s="1"/>
      <c r="O13" s="1"/>
      <c r="P13" s="1"/>
    </row>
    <row r="14" customFormat="false" ht="24" hidden="false" customHeight="true" outlineLevel="0" collapsed="false">
      <c r="A14" s="1"/>
      <c r="B14" s="19" t="s">
        <v>299</v>
      </c>
      <c r="C14" s="2" t="s">
        <v>598</v>
      </c>
      <c r="D14" s="2" t="s">
        <v>596</v>
      </c>
      <c r="E14" s="35" t="s">
        <v>301</v>
      </c>
      <c r="F14" s="2" t="s">
        <v>67</v>
      </c>
      <c r="G14" s="2" t="s">
        <v>68</v>
      </c>
      <c r="H14" s="35"/>
      <c r="I14" s="1"/>
      <c r="J14" s="1"/>
      <c r="K14" s="1"/>
      <c r="L14" s="1"/>
      <c r="M14" s="1"/>
      <c r="N14" s="1"/>
      <c r="O14" s="1"/>
      <c r="P14" s="1"/>
    </row>
    <row r="15" customFormat="false" ht="24" hidden="false" customHeight="true" outlineLevel="0" collapsed="false">
      <c r="A15" s="1"/>
      <c r="B15" s="30" t="s">
        <v>295</v>
      </c>
      <c r="C15" s="31" t="s">
        <v>599</v>
      </c>
      <c r="D15" s="31" t="s">
        <v>596</v>
      </c>
      <c r="E15" s="37" t="s">
        <v>297</v>
      </c>
      <c r="F15" s="31" t="s">
        <v>73</v>
      </c>
      <c r="G15" s="31" t="s">
        <v>68</v>
      </c>
      <c r="H15" s="37"/>
      <c r="I15" s="1"/>
      <c r="J15" s="1"/>
      <c r="K15" s="1"/>
      <c r="L15" s="1"/>
      <c r="M15" s="1"/>
      <c r="N15" s="1"/>
      <c r="O15" s="1"/>
      <c r="P15" s="1"/>
    </row>
    <row r="16" customFormat="false" ht="24" hidden="false" customHeight="true" outlineLevel="0" collapsed="false">
      <c r="A16" s="1"/>
      <c r="B16" s="19" t="s">
        <v>275</v>
      </c>
      <c r="C16" s="2" t="s">
        <v>600</v>
      </c>
      <c r="D16" s="2" t="s">
        <v>596</v>
      </c>
      <c r="E16" s="35" t="s">
        <v>277</v>
      </c>
      <c r="F16" s="2" t="s">
        <v>73</v>
      </c>
      <c r="G16" s="2" t="s">
        <v>68</v>
      </c>
      <c r="H16" s="35"/>
      <c r="I16" s="1"/>
      <c r="J16" s="1"/>
      <c r="K16" s="1"/>
      <c r="L16" s="1"/>
      <c r="M16" s="1"/>
      <c r="N16" s="1"/>
      <c r="O16" s="1"/>
      <c r="P16" s="1"/>
    </row>
    <row r="17" customFormat="false" ht="24" hidden="false" customHeight="true" outlineLevel="0" collapsed="false">
      <c r="A17" s="1"/>
      <c r="B17" s="30" t="s">
        <v>283</v>
      </c>
      <c r="C17" s="31" t="s">
        <v>597</v>
      </c>
      <c r="D17" s="31" t="s">
        <v>596</v>
      </c>
      <c r="E17" s="38" t="s">
        <v>601</v>
      </c>
      <c r="F17" s="31" t="s">
        <v>67</v>
      </c>
      <c r="G17" s="31" t="s">
        <v>68</v>
      </c>
      <c r="H17" s="37"/>
      <c r="I17" s="1"/>
      <c r="J17" s="1"/>
      <c r="K17" s="1"/>
      <c r="L17" s="1"/>
      <c r="M17" s="1"/>
      <c r="N17" s="1"/>
      <c r="O17" s="1"/>
      <c r="P17" s="1"/>
    </row>
    <row r="18" customFormat="false" ht="24" hidden="false" customHeight="true" outlineLevel="0" collapsed="false">
      <c r="A18" s="1"/>
      <c r="B18" s="19" t="s">
        <v>287</v>
      </c>
      <c r="C18" s="2" t="s">
        <v>602</v>
      </c>
      <c r="D18" s="2" t="s">
        <v>596</v>
      </c>
      <c r="E18" s="39" t="s">
        <v>603</v>
      </c>
      <c r="F18" s="2" t="s">
        <v>100</v>
      </c>
      <c r="G18" s="2" t="s">
        <v>68</v>
      </c>
      <c r="H18" s="35"/>
      <c r="I18" s="1"/>
      <c r="J18" s="1"/>
      <c r="K18" s="1"/>
      <c r="L18" s="1"/>
      <c r="M18" s="1"/>
      <c r="N18" s="1"/>
      <c r="O18" s="1"/>
      <c r="P18" s="1"/>
    </row>
    <row r="19" customFormat="false" ht="24" hidden="false" customHeight="true" outlineLevel="0" collapsed="false">
      <c r="A19" s="1"/>
      <c r="B19" s="30" t="s">
        <v>604</v>
      </c>
      <c r="C19" s="31" t="s">
        <v>605</v>
      </c>
      <c r="D19" s="31" t="s">
        <v>596</v>
      </c>
      <c r="E19" s="37" t="s">
        <v>606</v>
      </c>
      <c r="F19" s="31" t="s">
        <v>67</v>
      </c>
      <c r="G19" s="31" t="s">
        <v>68</v>
      </c>
      <c r="H19" s="37"/>
      <c r="I19" s="1"/>
      <c r="J19" s="1"/>
      <c r="K19" s="1"/>
      <c r="L19" s="1"/>
      <c r="M19" s="1"/>
      <c r="N19" s="1"/>
      <c r="O19" s="1"/>
      <c r="P19" s="1"/>
    </row>
    <row r="20" customFormat="false" ht="24" hidden="false" customHeight="true" outlineLevel="0" collapsed="false">
      <c r="A20" s="1"/>
      <c r="B20" s="19" t="s">
        <v>607</v>
      </c>
      <c r="C20" s="2" t="s">
        <v>608</v>
      </c>
      <c r="D20" s="2" t="s">
        <v>596</v>
      </c>
      <c r="E20" s="39" t="s">
        <v>609</v>
      </c>
      <c r="F20" s="2" t="s">
        <v>73</v>
      </c>
      <c r="G20" s="2" t="s">
        <v>68</v>
      </c>
      <c r="H20" s="35"/>
      <c r="I20" s="1"/>
      <c r="J20" s="1"/>
      <c r="K20" s="1"/>
      <c r="L20" s="1"/>
      <c r="M20" s="1"/>
      <c r="N20" s="1"/>
      <c r="O20" s="1"/>
      <c r="P20" s="1"/>
    </row>
    <row r="21" customFormat="false" ht="24" hidden="false" customHeight="true" outlineLevel="0" collapsed="false">
      <c r="A21" s="1"/>
      <c r="B21" s="30" t="s">
        <v>236</v>
      </c>
      <c r="C21" s="31" t="s">
        <v>610</v>
      </c>
      <c r="D21" s="31" t="s">
        <v>596</v>
      </c>
      <c r="E21" s="37" t="s">
        <v>238</v>
      </c>
      <c r="F21" s="31" t="s">
        <v>73</v>
      </c>
      <c r="G21" s="31" t="s">
        <v>68</v>
      </c>
      <c r="H21" s="37"/>
      <c r="I21" s="1"/>
      <c r="J21" s="1"/>
      <c r="K21" s="1"/>
      <c r="L21" s="1"/>
      <c r="M21" s="1"/>
      <c r="N21" s="1"/>
      <c r="O21" s="1"/>
      <c r="P21" s="1"/>
    </row>
    <row r="22" customFormat="false" ht="24" hidden="false" customHeight="true" outlineLevel="0" collapsed="false">
      <c r="A22" s="1"/>
      <c r="B22" s="19" t="s">
        <v>313</v>
      </c>
      <c r="C22" s="2" t="s">
        <v>611</v>
      </c>
      <c r="D22" s="2" t="s">
        <v>596</v>
      </c>
      <c r="E22" s="35" t="s">
        <v>315</v>
      </c>
      <c r="F22" s="2" t="s">
        <v>67</v>
      </c>
      <c r="G22" s="2" t="s">
        <v>68</v>
      </c>
      <c r="H22" s="35"/>
      <c r="I22" s="1"/>
      <c r="J22" s="1"/>
      <c r="K22" s="1"/>
      <c r="L22" s="1"/>
      <c r="M22" s="1"/>
      <c r="N22" s="1"/>
      <c r="O22" s="1"/>
      <c r="P22" s="1"/>
    </row>
    <row r="23" customFormat="false" ht="24" hidden="false" customHeight="true" outlineLevel="0" collapsed="false">
      <c r="A23" s="1"/>
      <c r="B23" s="30" t="s">
        <v>309</v>
      </c>
      <c r="C23" s="31" t="s">
        <v>612</v>
      </c>
      <c r="D23" s="31" t="s">
        <v>596</v>
      </c>
      <c r="E23" s="37" t="s">
        <v>311</v>
      </c>
      <c r="F23" s="31" t="s">
        <v>67</v>
      </c>
      <c r="G23" s="31" t="s">
        <v>68</v>
      </c>
      <c r="H23" s="37"/>
      <c r="I23" s="1"/>
      <c r="J23" s="1"/>
      <c r="K23" s="1"/>
      <c r="L23" s="1"/>
      <c r="M23" s="1"/>
      <c r="N23" s="1"/>
      <c r="O23" s="1"/>
      <c r="P23" s="1"/>
    </row>
    <row r="24" customFormat="false" ht="24" hidden="false" customHeight="true" outlineLevel="0" collapsed="false">
      <c r="A24" s="1"/>
      <c r="B24" s="19" t="s">
        <v>613</v>
      </c>
      <c r="C24" s="2" t="s">
        <v>614</v>
      </c>
      <c r="D24" s="2" t="s">
        <v>596</v>
      </c>
      <c r="E24" s="35" t="s">
        <v>615</v>
      </c>
      <c r="F24" s="2" t="s">
        <v>67</v>
      </c>
      <c r="G24" s="2" t="s">
        <v>68</v>
      </c>
      <c r="H24" s="35"/>
      <c r="I24" s="1"/>
      <c r="J24" s="1"/>
      <c r="K24" s="1"/>
      <c r="L24" s="1"/>
      <c r="M24" s="1"/>
      <c r="N24" s="1"/>
      <c r="O24" s="1"/>
      <c r="P24" s="1"/>
    </row>
    <row r="25" customFormat="false" ht="24" hidden="false" customHeight="true" outlineLevel="0" collapsed="false">
      <c r="A25" s="1"/>
      <c r="B25" s="30" t="s">
        <v>84</v>
      </c>
      <c r="C25" s="31" t="s">
        <v>616</v>
      </c>
      <c r="D25" s="31" t="s">
        <v>587</v>
      </c>
      <c r="E25" s="37" t="s">
        <v>86</v>
      </c>
      <c r="F25" s="31" t="s">
        <v>73</v>
      </c>
      <c r="G25" s="31" t="s">
        <v>68</v>
      </c>
      <c r="H25" s="37"/>
      <c r="I25" s="1"/>
      <c r="J25" s="1"/>
      <c r="K25" s="1"/>
      <c r="L25" s="1"/>
      <c r="M25" s="1"/>
      <c r="N25" s="1"/>
      <c r="O25" s="1"/>
      <c r="P25" s="1"/>
    </row>
    <row r="26" customFormat="false" ht="24" hidden="false" customHeight="true" outlineLevel="0" collapsed="false">
      <c r="A26" s="1"/>
      <c r="B26" s="19" t="s">
        <v>88</v>
      </c>
      <c r="C26" s="2" t="s">
        <v>616</v>
      </c>
      <c r="D26" s="2" t="s">
        <v>587</v>
      </c>
      <c r="E26" s="35" t="s">
        <v>86</v>
      </c>
      <c r="F26" s="2" t="s">
        <v>73</v>
      </c>
      <c r="G26" s="2" t="s">
        <v>68</v>
      </c>
      <c r="H26" s="35"/>
      <c r="I26" s="1"/>
      <c r="J26" s="1"/>
      <c r="K26" s="1"/>
      <c r="L26" s="1"/>
      <c r="M26" s="1"/>
      <c r="N26" s="1"/>
      <c r="O26" s="1"/>
      <c r="P26" s="1"/>
    </row>
    <row r="27" customFormat="false" ht="24" hidden="false" customHeight="true" outlineLevel="0" collapsed="false">
      <c r="A27" s="1"/>
      <c r="B27" s="30" t="s">
        <v>617</v>
      </c>
      <c r="C27" s="31" t="s">
        <v>618</v>
      </c>
      <c r="D27" s="31" t="s">
        <v>596</v>
      </c>
      <c r="E27" s="37" t="s">
        <v>619</v>
      </c>
      <c r="F27" s="31" t="s">
        <v>73</v>
      </c>
      <c r="G27" s="31" t="s">
        <v>68</v>
      </c>
      <c r="H27" s="37"/>
      <c r="I27" s="1"/>
      <c r="J27" s="1"/>
      <c r="K27" s="1"/>
      <c r="L27" s="1"/>
      <c r="M27" s="1"/>
      <c r="N27" s="1"/>
      <c r="O27" s="1"/>
      <c r="P27" s="1"/>
    </row>
    <row r="28" customFormat="false" ht="24" hidden="false" customHeight="true" outlineLevel="0" collapsed="false">
      <c r="A28" s="1"/>
      <c r="B28" s="19" t="s">
        <v>184</v>
      </c>
      <c r="C28" s="2" t="s">
        <v>620</v>
      </c>
      <c r="D28" s="2" t="s">
        <v>621</v>
      </c>
      <c r="E28" s="35" t="s">
        <v>185</v>
      </c>
      <c r="F28" s="2" t="s">
        <v>100</v>
      </c>
      <c r="G28" s="2" t="s">
        <v>68</v>
      </c>
      <c r="H28" s="35" t="s">
        <v>622</v>
      </c>
      <c r="I28" s="1"/>
      <c r="J28" s="1"/>
      <c r="K28" s="1"/>
      <c r="L28" s="1"/>
      <c r="M28" s="1"/>
      <c r="N28" s="1"/>
      <c r="O28" s="1"/>
      <c r="P28" s="1"/>
    </row>
    <row r="29" customFormat="false" ht="24" hidden="false" customHeight="true" outlineLevel="0" collapsed="false">
      <c r="A29" s="1"/>
      <c r="B29" s="30" t="s">
        <v>326</v>
      </c>
      <c r="C29" s="31" t="s">
        <v>623</v>
      </c>
      <c r="D29" s="31" t="s">
        <v>624</v>
      </c>
      <c r="E29" s="37" t="s">
        <v>329</v>
      </c>
      <c r="F29" s="31" t="s">
        <v>67</v>
      </c>
      <c r="G29" s="31"/>
      <c r="H29" s="37"/>
      <c r="I29" s="1"/>
      <c r="J29" s="1"/>
      <c r="K29" s="1"/>
      <c r="L29" s="1"/>
      <c r="M29" s="1"/>
      <c r="N29" s="1"/>
      <c r="O29" s="1"/>
      <c r="P29" s="1"/>
    </row>
    <row r="30" customFormat="false" ht="24" hidden="false" customHeight="true" outlineLevel="0" collapsed="false">
      <c r="A30" s="1"/>
      <c r="B30" s="19" t="s">
        <v>232</v>
      </c>
      <c r="C30" s="2" t="s">
        <v>599</v>
      </c>
      <c r="D30" s="2" t="s">
        <v>596</v>
      </c>
      <c r="E30" s="35" t="s">
        <v>234</v>
      </c>
      <c r="F30" s="2" t="s">
        <v>73</v>
      </c>
      <c r="G30" s="2" t="s">
        <v>68</v>
      </c>
      <c r="H30" s="35"/>
      <c r="I30" s="1"/>
      <c r="J30" s="1"/>
      <c r="K30" s="1"/>
      <c r="L30" s="1"/>
      <c r="M30" s="1"/>
      <c r="N30" s="1"/>
      <c r="O30" s="1"/>
      <c r="P30" s="1"/>
    </row>
    <row r="31" customFormat="false" ht="24" hidden="false" customHeight="true" outlineLevel="0" collapsed="false">
      <c r="A31" s="1"/>
      <c r="B31" s="30" t="s">
        <v>134</v>
      </c>
      <c r="C31" s="31" t="s">
        <v>599</v>
      </c>
      <c r="D31" s="31" t="s">
        <v>596</v>
      </c>
      <c r="E31" s="37" t="s">
        <v>136</v>
      </c>
      <c r="F31" s="31" t="s">
        <v>73</v>
      </c>
      <c r="G31" s="31" t="s">
        <v>68</v>
      </c>
      <c r="H31" s="37"/>
      <c r="I31" s="1"/>
      <c r="J31" s="1"/>
      <c r="K31" s="1"/>
      <c r="L31" s="1"/>
      <c r="M31" s="1"/>
      <c r="N31" s="1"/>
      <c r="O31" s="1"/>
      <c r="P31" s="1"/>
    </row>
    <row r="32" customFormat="false" ht="24" hidden="false" customHeight="true" outlineLevel="0" collapsed="false">
      <c r="A32" s="1"/>
      <c r="B32" s="19" t="s">
        <v>245</v>
      </c>
      <c r="C32" s="2" t="s">
        <v>625</v>
      </c>
      <c r="D32" s="2" t="s">
        <v>596</v>
      </c>
      <c r="E32" s="39" t="s">
        <v>626</v>
      </c>
      <c r="F32" s="2" t="s">
        <v>67</v>
      </c>
      <c r="G32" s="2" t="s">
        <v>68</v>
      </c>
      <c r="H32" s="35"/>
      <c r="I32" s="1"/>
      <c r="J32" s="1"/>
      <c r="K32" s="1"/>
      <c r="L32" s="1"/>
      <c r="M32" s="1"/>
      <c r="N32" s="1"/>
      <c r="O32" s="1"/>
      <c r="P32" s="1"/>
    </row>
    <row r="33" customFormat="false" ht="24" hidden="false" customHeight="true" outlineLevel="0" collapsed="false">
      <c r="A33" s="1"/>
      <c r="B33" s="30" t="s">
        <v>321</v>
      </c>
      <c r="C33" s="31" t="s">
        <v>627</v>
      </c>
      <c r="D33" s="31" t="s">
        <v>596</v>
      </c>
      <c r="E33" s="37" t="s">
        <v>323</v>
      </c>
      <c r="F33" s="31" t="s">
        <v>67</v>
      </c>
      <c r="G33" s="31" t="s">
        <v>68</v>
      </c>
      <c r="H33" s="37"/>
      <c r="I33" s="1"/>
      <c r="J33" s="1"/>
      <c r="K33" s="1"/>
      <c r="L33" s="1"/>
      <c r="M33" s="1"/>
      <c r="N33" s="1"/>
      <c r="O33" s="1"/>
      <c r="P33" s="1"/>
    </row>
    <row r="34" customFormat="false" ht="24" hidden="false" customHeight="true" outlineLevel="0" collapsed="false">
      <c r="A34" s="1"/>
      <c r="B34" s="19" t="s">
        <v>97</v>
      </c>
      <c r="C34" s="2" t="s">
        <v>598</v>
      </c>
      <c r="D34" s="2" t="s">
        <v>596</v>
      </c>
      <c r="E34" s="35" t="s">
        <v>99</v>
      </c>
      <c r="F34" s="2" t="s">
        <v>100</v>
      </c>
      <c r="G34" s="2" t="s">
        <v>68</v>
      </c>
      <c r="H34" s="35"/>
      <c r="I34" s="1"/>
      <c r="J34" s="1"/>
      <c r="K34" s="1"/>
      <c r="L34" s="1"/>
      <c r="M34" s="1"/>
      <c r="N34" s="1"/>
      <c r="O34" s="1"/>
      <c r="P34" s="1"/>
    </row>
    <row r="35" customFormat="false" ht="24" hidden="false" customHeight="true" outlineLevel="0" collapsed="false">
      <c r="A35" s="1"/>
      <c r="B35" s="30" t="s">
        <v>209</v>
      </c>
      <c r="C35" s="31" t="s">
        <v>598</v>
      </c>
      <c r="D35" s="31" t="s">
        <v>596</v>
      </c>
      <c r="E35" s="37" t="s">
        <v>211</v>
      </c>
      <c r="F35" s="31" t="s">
        <v>100</v>
      </c>
      <c r="G35" s="31" t="s">
        <v>68</v>
      </c>
      <c r="H35" s="37"/>
      <c r="I35" s="1"/>
      <c r="J35" s="1"/>
      <c r="K35" s="1"/>
      <c r="L35" s="1"/>
      <c r="M35" s="1"/>
      <c r="N35" s="1"/>
      <c r="O35" s="1"/>
      <c r="P35" s="1"/>
    </row>
    <row r="36" customFormat="false" ht="24" hidden="false" customHeight="true" outlineLevel="0" collapsed="false">
      <c r="A36" s="1"/>
      <c r="B36" s="19" t="s">
        <v>91</v>
      </c>
      <c r="C36" s="2" t="s">
        <v>628</v>
      </c>
      <c r="D36" s="2" t="s">
        <v>596</v>
      </c>
      <c r="E36" s="35" t="s">
        <v>94</v>
      </c>
      <c r="F36" s="2" t="s">
        <v>73</v>
      </c>
      <c r="G36" s="2" t="s">
        <v>68</v>
      </c>
      <c r="H36" s="35"/>
      <c r="I36" s="1"/>
      <c r="J36" s="1"/>
      <c r="K36" s="1"/>
      <c r="L36" s="1"/>
      <c r="M36" s="1"/>
      <c r="N36" s="1"/>
      <c r="O36" s="1"/>
      <c r="P36" s="1"/>
    </row>
    <row r="37" customFormat="false" ht="24" hidden="false" customHeight="true" outlineLevel="0" collapsed="false">
      <c r="A37" s="1"/>
      <c r="B37" s="30" t="s">
        <v>130</v>
      </c>
      <c r="C37" s="31" t="s">
        <v>629</v>
      </c>
      <c r="D37" s="31" t="s">
        <v>596</v>
      </c>
      <c r="E37" s="38" t="s">
        <v>630</v>
      </c>
      <c r="F37" s="31" t="s">
        <v>73</v>
      </c>
      <c r="G37" s="31" t="s">
        <v>68</v>
      </c>
      <c r="H37" s="37"/>
      <c r="I37" s="1"/>
      <c r="J37" s="1"/>
      <c r="K37" s="1"/>
      <c r="L37" s="1"/>
      <c r="M37" s="1"/>
      <c r="N37" s="1"/>
      <c r="O37" s="1"/>
      <c r="P37" s="1"/>
    </row>
    <row r="38" customFormat="false" ht="24" hidden="false" customHeight="true" outlineLevel="0" collapsed="false">
      <c r="A38" s="1"/>
      <c r="B38" s="19" t="s">
        <v>631</v>
      </c>
      <c r="C38" s="2" t="s">
        <v>632</v>
      </c>
      <c r="D38" s="2" t="s">
        <v>596</v>
      </c>
      <c r="E38" s="39" t="s">
        <v>633</v>
      </c>
      <c r="F38" s="2" t="s">
        <v>67</v>
      </c>
      <c r="G38" s="2" t="s">
        <v>68</v>
      </c>
      <c r="H38" s="35"/>
      <c r="I38" s="1"/>
      <c r="J38" s="1"/>
      <c r="K38" s="1"/>
      <c r="L38" s="1"/>
      <c r="M38" s="1"/>
      <c r="N38" s="1"/>
      <c r="O38" s="1"/>
      <c r="P38" s="1"/>
    </row>
    <row r="39" customFormat="false" ht="24" hidden="false" customHeight="true" outlineLevel="0" collapsed="false">
      <c r="A39" s="1"/>
      <c r="B39" s="30" t="s">
        <v>271</v>
      </c>
      <c r="C39" s="31" t="s">
        <v>634</v>
      </c>
      <c r="D39" s="31" t="s">
        <v>596</v>
      </c>
      <c r="E39" s="37" t="s">
        <v>269</v>
      </c>
      <c r="F39" s="31" t="s">
        <v>100</v>
      </c>
      <c r="G39" s="31" t="s">
        <v>68</v>
      </c>
      <c r="H39" s="37"/>
      <c r="I39" s="1"/>
      <c r="J39" s="1"/>
      <c r="K39" s="1"/>
      <c r="L39" s="1"/>
      <c r="M39" s="1"/>
      <c r="N39" s="1"/>
      <c r="O39" s="1"/>
      <c r="P39" s="1"/>
    </row>
    <row r="40" customFormat="false" ht="24" hidden="false" customHeight="true" outlineLevel="0" collapsed="false">
      <c r="A40" s="1"/>
      <c r="B40" s="19" t="s">
        <v>260</v>
      </c>
      <c r="C40" s="2" t="s">
        <v>635</v>
      </c>
      <c r="D40" s="2" t="s">
        <v>596</v>
      </c>
      <c r="E40" s="39" t="s">
        <v>636</v>
      </c>
      <c r="F40" s="2" t="s">
        <v>73</v>
      </c>
      <c r="G40" s="2" t="s">
        <v>68</v>
      </c>
      <c r="H40" s="35"/>
      <c r="I40" s="1"/>
      <c r="J40" s="1"/>
      <c r="K40" s="1"/>
      <c r="L40" s="1"/>
      <c r="M40" s="1"/>
      <c r="N40" s="1"/>
      <c r="O40" s="1"/>
      <c r="P40" s="1"/>
    </row>
    <row r="41" customFormat="false" ht="24" hidden="false" customHeight="true" outlineLevel="0" collapsed="false">
      <c r="A41" s="1"/>
      <c r="B41" s="30" t="s">
        <v>254</v>
      </c>
      <c r="C41" s="31" t="s">
        <v>255</v>
      </c>
      <c r="D41" s="31" t="s">
        <v>596</v>
      </c>
      <c r="E41" s="37" t="s">
        <v>258</v>
      </c>
      <c r="F41" s="31" t="s">
        <v>100</v>
      </c>
      <c r="G41" s="31" t="s">
        <v>68</v>
      </c>
      <c r="H41" s="37"/>
      <c r="I41" s="1"/>
      <c r="J41" s="1"/>
      <c r="K41" s="1"/>
      <c r="L41" s="1"/>
      <c r="M41" s="1"/>
      <c r="N41" s="1"/>
      <c r="O41" s="1"/>
      <c r="P41" s="1"/>
    </row>
    <row r="42" customFormat="false" ht="24" hidden="false" customHeight="true" outlineLevel="0" collapsed="false">
      <c r="A42" s="1"/>
      <c r="B42" s="19" t="s">
        <v>264</v>
      </c>
      <c r="C42" s="2" t="s">
        <v>634</v>
      </c>
      <c r="D42" s="2" t="s">
        <v>596</v>
      </c>
      <c r="E42" s="35" t="s">
        <v>258</v>
      </c>
      <c r="F42" s="2" t="s">
        <v>100</v>
      </c>
      <c r="G42" s="2" t="s">
        <v>68</v>
      </c>
      <c r="H42" s="35"/>
      <c r="I42" s="1"/>
      <c r="J42" s="1"/>
      <c r="K42" s="1"/>
      <c r="L42" s="1"/>
      <c r="M42" s="1"/>
      <c r="N42" s="1"/>
      <c r="O42" s="1"/>
      <c r="P42" s="1"/>
    </row>
    <row r="43" customFormat="false" ht="24" hidden="false" customHeight="true" outlineLevel="0" collapsed="false">
      <c r="A43" s="1"/>
      <c r="B43" s="30" t="s">
        <v>267</v>
      </c>
      <c r="C43" s="31" t="s">
        <v>637</v>
      </c>
      <c r="D43" s="31" t="s">
        <v>596</v>
      </c>
      <c r="E43" s="37" t="s">
        <v>269</v>
      </c>
      <c r="F43" s="31" t="s">
        <v>100</v>
      </c>
      <c r="G43" s="31" t="s">
        <v>68</v>
      </c>
      <c r="H43" s="37"/>
      <c r="I43" s="1"/>
      <c r="J43" s="1"/>
      <c r="K43" s="1"/>
      <c r="L43" s="1"/>
      <c r="M43" s="1"/>
      <c r="N43" s="1"/>
      <c r="O43" s="1"/>
      <c r="P43" s="1"/>
    </row>
    <row r="44" customFormat="false" ht="24" hidden="false" customHeight="true" outlineLevel="0" collapsed="false">
      <c r="A44" s="1"/>
      <c r="B44" s="19" t="s">
        <v>150</v>
      </c>
      <c r="C44" s="2" t="s">
        <v>599</v>
      </c>
      <c r="D44" s="2" t="s">
        <v>596</v>
      </c>
      <c r="E44" s="35" t="s">
        <v>152</v>
      </c>
      <c r="F44" s="2" t="s">
        <v>73</v>
      </c>
      <c r="G44" s="2" t="s">
        <v>68</v>
      </c>
      <c r="H44" s="35"/>
      <c r="I44" s="1"/>
      <c r="J44" s="1"/>
      <c r="K44" s="1"/>
      <c r="L44" s="1"/>
      <c r="M44" s="1"/>
      <c r="N44" s="1"/>
      <c r="O44" s="1"/>
      <c r="P44" s="1"/>
    </row>
    <row r="45" customFormat="false" ht="24" hidden="false" customHeight="true" outlineLevel="0" collapsed="false">
      <c r="A45" s="1"/>
      <c r="B45" s="30" t="s">
        <v>167</v>
      </c>
      <c r="C45" s="31" t="s">
        <v>611</v>
      </c>
      <c r="D45" s="31" t="s">
        <v>587</v>
      </c>
      <c r="E45" s="37" t="s">
        <v>162</v>
      </c>
      <c r="F45" s="31" t="s">
        <v>100</v>
      </c>
      <c r="G45" s="31" t="s">
        <v>68</v>
      </c>
      <c r="H45" s="37"/>
      <c r="I45" s="1"/>
      <c r="J45" s="1"/>
      <c r="K45" s="1"/>
      <c r="L45" s="1"/>
      <c r="M45" s="1"/>
      <c r="N45" s="1"/>
      <c r="O45" s="1"/>
      <c r="P45" s="1"/>
    </row>
    <row r="46" customFormat="false" ht="24" hidden="false" customHeight="true" outlineLevel="0" collapsed="false">
      <c r="A46" s="1"/>
      <c r="B46" s="19" t="s">
        <v>159</v>
      </c>
      <c r="C46" s="2" t="s">
        <v>638</v>
      </c>
      <c r="D46" s="2" t="s">
        <v>587</v>
      </c>
      <c r="E46" s="35" t="s">
        <v>162</v>
      </c>
      <c r="F46" s="2" t="s">
        <v>100</v>
      </c>
      <c r="G46" s="2" t="s">
        <v>68</v>
      </c>
      <c r="H46" s="35"/>
      <c r="I46" s="1"/>
      <c r="J46" s="1"/>
      <c r="K46" s="1"/>
      <c r="L46" s="1"/>
      <c r="M46" s="1"/>
      <c r="N46" s="1"/>
      <c r="O46" s="1"/>
      <c r="P46" s="1"/>
    </row>
    <row r="47" customFormat="false" ht="24" hidden="false" customHeight="true" outlineLevel="0" collapsed="false">
      <c r="A47" s="1"/>
      <c r="B47" s="30" t="s">
        <v>170</v>
      </c>
      <c r="C47" s="31" t="s">
        <v>639</v>
      </c>
      <c r="D47" s="31" t="s">
        <v>587</v>
      </c>
      <c r="E47" s="37" t="s">
        <v>162</v>
      </c>
      <c r="F47" s="31" t="s">
        <v>100</v>
      </c>
      <c r="G47" s="31" t="s">
        <v>68</v>
      </c>
      <c r="H47" s="37"/>
      <c r="I47" s="1"/>
      <c r="J47" s="1"/>
      <c r="K47" s="1"/>
      <c r="L47" s="1"/>
      <c r="M47" s="1"/>
      <c r="N47" s="1"/>
      <c r="O47" s="1"/>
      <c r="P47" s="1"/>
    </row>
    <row r="48" customFormat="false" ht="24" hidden="false" customHeight="true" outlineLevel="0" collapsed="false">
      <c r="A48" s="1"/>
      <c r="B48" s="19" t="s">
        <v>164</v>
      </c>
      <c r="C48" s="2" t="s">
        <v>611</v>
      </c>
      <c r="D48" s="2" t="s">
        <v>587</v>
      </c>
      <c r="E48" s="35" t="s">
        <v>162</v>
      </c>
      <c r="F48" s="2" t="s">
        <v>100</v>
      </c>
      <c r="G48" s="2" t="s">
        <v>68</v>
      </c>
      <c r="H48" s="35"/>
      <c r="I48" s="1"/>
      <c r="J48" s="1"/>
      <c r="K48" s="1"/>
      <c r="L48" s="1"/>
      <c r="M48" s="1"/>
      <c r="N48" s="1"/>
      <c r="O48" s="1"/>
      <c r="P48" s="1"/>
    </row>
    <row r="49" customFormat="false" ht="24" hidden="false" customHeight="true" outlineLevel="0" collapsed="false">
      <c r="A49" s="1"/>
      <c r="B49" s="30" t="s">
        <v>102</v>
      </c>
      <c r="C49" s="31" t="s">
        <v>640</v>
      </c>
      <c r="D49" s="31" t="s">
        <v>596</v>
      </c>
      <c r="E49" s="38" t="s">
        <v>641</v>
      </c>
      <c r="F49" s="31" t="s">
        <v>100</v>
      </c>
      <c r="G49" s="31" t="s">
        <v>68</v>
      </c>
      <c r="H49" s="37"/>
      <c r="I49" s="1"/>
      <c r="J49" s="1"/>
      <c r="K49" s="1"/>
      <c r="L49" s="1"/>
      <c r="M49" s="1"/>
      <c r="N49" s="1"/>
      <c r="O49" s="1"/>
      <c r="P49" s="1"/>
    </row>
    <row r="50" customFormat="false" ht="24" hidden="false" customHeight="true" outlineLevel="0" collapsed="false">
      <c r="A50" s="1"/>
      <c r="B50" s="19" t="s">
        <v>228</v>
      </c>
      <c r="C50" s="2" t="s">
        <v>642</v>
      </c>
      <c r="D50" s="2" t="s">
        <v>596</v>
      </c>
      <c r="E50" s="35" t="s">
        <v>230</v>
      </c>
      <c r="F50" s="2" t="s">
        <v>73</v>
      </c>
      <c r="G50" s="2" t="s">
        <v>68</v>
      </c>
      <c r="H50" s="35"/>
      <c r="I50" s="1"/>
      <c r="J50" s="1"/>
      <c r="K50" s="1"/>
      <c r="L50" s="1"/>
      <c r="M50" s="1"/>
      <c r="N50" s="1"/>
      <c r="O50" s="1"/>
      <c r="P50" s="1"/>
    </row>
    <row r="51" customFormat="false" ht="24" hidden="false" customHeight="true" outlineLevel="0" collapsed="false">
      <c r="A51" s="1"/>
      <c r="B51" s="30" t="s">
        <v>154</v>
      </c>
      <c r="C51" s="31" t="s">
        <v>643</v>
      </c>
      <c r="D51" s="31" t="s">
        <v>596</v>
      </c>
      <c r="E51" s="37" t="s">
        <v>156</v>
      </c>
      <c r="F51" s="31" t="s">
        <v>73</v>
      </c>
      <c r="G51" s="31" t="s">
        <v>68</v>
      </c>
      <c r="H51" s="37"/>
      <c r="I51" s="1"/>
      <c r="J51" s="1"/>
      <c r="K51" s="1"/>
      <c r="L51" s="1"/>
      <c r="M51" s="1"/>
      <c r="N51" s="1"/>
      <c r="O51" s="1"/>
      <c r="P51" s="1"/>
    </row>
    <row r="52" customFormat="false" ht="24" hidden="false" customHeight="true" outlineLevel="0" collapsed="false">
      <c r="A52" s="1"/>
      <c r="B52" s="19" t="s">
        <v>304</v>
      </c>
      <c r="C52" s="2" t="s">
        <v>644</v>
      </c>
      <c r="D52" s="2" t="s">
        <v>596</v>
      </c>
      <c r="E52" s="35" t="s">
        <v>307</v>
      </c>
      <c r="F52" s="2" t="s">
        <v>73</v>
      </c>
      <c r="G52" s="2" t="s">
        <v>68</v>
      </c>
      <c r="H52" s="35"/>
      <c r="I52" s="1"/>
      <c r="J52" s="1"/>
      <c r="K52" s="1"/>
      <c r="L52" s="1"/>
      <c r="M52" s="1"/>
      <c r="N52" s="1"/>
      <c r="O52" s="1"/>
      <c r="P52" s="1"/>
    </row>
    <row r="53" customFormat="false" ht="24" hidden="false" customHeight="true" outlineLevel="0" collapsed="false">
      <c r="A53" s="1"/>
      <c r="B53" s="30" t="s">
        <v>249</v>
      </c>
      <c r="C53" s="31" t="s">
        <v>637</v>
      </c>
      <c r="D53" s="31" t="s">
        <v>596</v>
      </c>
      <c r="E53" s="37" t="s">
        <v>252</v>
      </c>
      <c r="F53" s="31" t="s">
        <v>67</v>
      </c>
      <c r="G53" s="31" t="s">
        <v>68</v>
      </c>
      <c r="H53" s="37"/>
      <c r="I53" s="1"/>
      <c r="J53" s="1"/>
      <c r="K53" s="1"/>
      <c r="L53" s="1"/>
      <c r="M53" s="1"/>
      <c r="N53" s="1"/>
      <c r="O53" s="1"/>
      <c r="P53" s="1"/>
    </row>
    <row r="54" customFormat="false" ht="24" hidden="false" customHeight="true" outlineLevel="0" collapsed="false">
      <c r="A54" s="1"/>
      <c r="B54" s="19" t="s">
        <v>117</v>
      </c>
      <c r="C54" s="2" t="s">
        <v>599</v>
      </c>
      <c r="D54" s="2" t="s">
        <v>596</v>
      </c>
      <c r="E54" s="35" t="s">
        <v>112</v>
      </c>
      <c r="F54" s="2" t="s">
        <v>73</v>
      </c>
      <c r="G54" s="2" t="s">
        <v>68</v>
      </c>
      <c r="H54" s="35"/>
      <c r="I54" s="1"/>
      <c r="J54" s="1"/>
      <c r="K54" s="1"/>
      <c r="L54" s="1"/>
      <c r="M54" s="1"/>
      <c r="N54" s="1"/>
      <c r="O54" s="1"/>
      <c r="P54" s="1"/>
    </row>
    <row r="55" customFormat="false" ht="24" hidden="false" customHeight="true" outlineLevel="0" collapsed="false">
      <c r="A55" s="1"/>
      <c r="B55" s="30" t="s">
        <v>110</v>
      </c>
      <c r="C55" s="31" t="s">
        <v>627</v>
      </c>
      <c r="D55" s="31" t="s">
        <v>596</v>
      </c>
      <c r="E55" s="37" t="s">
        <v>112</v>
      </c>
      <c r="F55" s="31" t="s">
        <v>73</v>
      </c>
      <c r="G55" s="31" t="s">
        <v>68</v>
      </c>
      <c r="H55" s="37"/>
      <c r="I55" s="1"/>
      <c r="J55" s="1"/>
      <c r="K55" s="1"/>
      <c r="L55" s="1"/>
      <c r="M55" s="1"/>
      <c r="N55" s="1"/>
      <c r="O55" s="1"/>
      <c r="P55" s="1"/>
    </row>
    <row r="56" customFormat="false" ht="24" hidden="false" customHeight="true" outlineLevel="0" collapsed="false">
      <c r="A56" s="1"/>
      <c r="B56" s="19" t="s">
        <v>106</v>
      </c>
      <c r="C56" s="2" t="s">
        <v>645</v>
      </c>
      <c r="D56" s="2" t="s">
        <v>596</v>
      </c>
      <c r="E56" s="39" t="s">
        <v>646</v>
      </c>
      <c r="F56" s="2" t="s">
        <v>73</v>
      </c>
      <c r="G56" s="2" t="s">
        <v>68</v>
      </c>
      <c r="H56" s="35"/>
      <c r="I56" s="1"/>
      <c r="J56" s="1"/>
      <c r="K56" s="1"/>
      <c r="L56" s="1"/>
      <c r="M56" s="1"/>
      <c r="N56" s="1"/>
      <c r="O56" s="1"/>
      <c r="P56" s="1"/>
    </row>
    <row r="57" customFormat="false" ht="24" hidden="false" customHeight="true" outlineLevel="0" collapsed="false">
      <c r="A57" s="1"/>
      <c r="B57" s="30" t="s">
        <v>114</v>
      </c>
      <c r="C57" s="31" t="s">
        <v>647</v>
      </c>
      <c r="D57" s="31" t="s">
        <v>596</v>
      </c>
      <c r="E57" s="38" t="s">
        <v>646</v>
      </c>
      <c r="F57" s="31" t="s">
        <v>73</v>
      </c>
      <c r="G57" s="31" t="s">
        <v>68</v>
      </c>
      <c r="H57" s="37"/>
      <c r="I57" s="1"/>
      <c r="J57" s="1"/>
      <c r="K57" s="1"/>
      <c r="L57" s="1"/>
      <c r="M57" s="1"/>
      <c r="N57" s="1"/>
      <c r="O57" s="1"/>
      <c r="P57" s="1"/>
    </row>
    <row r="58" customFormat="false" ht="24" hidden="false" customHeight="true" outlineLevel="0" collapsed="false">
      <c r="A58" s="1"/>
      <c r="B58" s="19" t="s">
        <v>79</v>
      </c>
      <c r="C58" s="2" t="s">
        <v>648</v>
      </c>
      <c r="D58" s="2" t="s">
        <v>596</v>
      </c>
      <c r="E58" s="35" t="s">
        <v>82</v>
      </c>
      <c r="F58" s="2" t="s">
        <v>73</v>
      </c>
      <c r="G58" s="2" t="s">
        <v>68</v>
      </c>
      <c r="H58" s="35"/>
      <c r="I58" s="1"/>
      <c r="J58" s="1"/>
      <c r="K58" s="1"/>
      <c r="L58" s="1"/>
      <c r="M58" s="1"/>
      <c r="N58" s="1"/>
      <c r="O58" s="1"/>
      <c r="P58" s="1"/>
    </row>
    <row r="59" customFormat="false" ht="24" hidden="false" customHeight="true" outlineLevel="0" collapsed="false">
      <c r="A59" s="1"/>
      <c r="B59" s="30" t="s">
        <v>649</v>
      </c>
      <c r="C59" s="31" t="s">
        <v>650</v>
      </c>
      <c r="D59" s="31" t="s">
        <v>596</v>
      </c>
      <c r="E59" s="38" t="s">
        <v>651</v>
      </c>
      <c r="F59" s="31" t="s">
        <v>100</v>
      </c>
      <c r="G59" s="31" t="s">
        <v>68</v>
      </c>
      <c r="H59" s="37"/>
      <c r="I59" s="1"/>
      <c r="J59" s="1"/>
      <c r="K59" s="1"/>
      <c r="L59" s="1"/>
      <c r="M59" s="1"/>
      <c r="N59" s="1"/>
      <c r="O59" s="1"/>
      <c r="P59" s="1"/>
    </row>
    <row r="60" customFormat="false" ht="24" hidden="false" customHeight="true" outlineLevel="0" collapsed="false">
      <c r="A60" s="1"/>
      <c r="B60" s="19" t="s">
        <v>180</v>
      </c>
      <c r="C60" s="2" t="s">
        <v>652</v>
      </c>
      <c r="D60" s="2" t="s">
        <v>621</v>
      </c>
      <c r="E60" s="35" t="s">
        <v>182</v>
      </c>
      <c r="F60" s="2" t="s">
        <v>100</v>
      </c>
      <c r="G60" s="2" t="s">
        <v>68</v>
      </c>
      <c r="H60" s="35" t="s">
        <v>653</v>
      </c>
      <c r="I60" s="1"/>
      <c r="J60" s="1"/>
      <c r="K60" s="1"/>
      <c r="L60" s="1"/>
      <c r="M60" s="1"/>
      <c r="N60" s="1"/>
      <c r="O60" s="1"/>
      <c r="P60" s="1"/>
    </row>
    <row r="61" customFormat="false" ht="24" hidden="false" customHeight="true" outlineLevel="0" collapsed="false">
      <c r="A61" s="1"/>
      <c r="B61" s="30" t="s">
        <v>205</v>
      </c>
      <c r="C61" s="31" t="s">
        <v>654</v>
      </c>
      <c r="D61" s="31" t="s">
        <v>596</v>
      </c>
      <c r="E61" s="37" t="s">
        <v>207</v>
      </c>
      <c r="F61" s="31" t="s">
        <v>100</v>
      </c>
      <c r="G61" s="31" t="s">
        <v>68</v>
      </c>
      <c r="H61" s="37"/>
      <c r="I61" s="1"/>
      <c r="J61" s="1"/>
      <c r="K61" s="1"/>
      <c r="L61" s="1"/>
      <c r="M61" s="1"/>
      <c r="N61" s="1"/>
      <c r="O61" s="1"/>
      <c r="P61" s="1"/>
    </row>
    <row r="62" customFormat="false" ht="24" hidden="false" customHeight="true" outlineLevel="0" collapsed="false">
      <c r="A62" s="1"/>
      <c r="B62" s="19" t="s">
        <v>201</v>
      </c>
      <c r="C62" s="2" t="s">
        <v>655</v>
      </c>
      <c r="D62" s="2" t="s">
        <v>596</v>
      </c>
      <c r="E62" s="39" t="s">
        <v>656</v>
      </c>
      <c r="F62" s="2" t="s">
        <v>100</v>
      </c>
      <c r="G62" s="2" t="s">
        <v>68</v>
      </c>
      <c r="H62" s="35"/>
      <c r="I62" s="1"/>
      <c r="J62" s="1"/>
      <c r="K62" s="1"/>
      <c r="L62" s="1"/>
      <c r="M62" s="1"/>
      <c r="N62" s="1"/>
      <c r="O62" s="1"/>
      <c r="P62" s="1"/>
    </row>
    <row r="63" customFormat="false" ht="24" hidden="false" customHeight="true" outlineLevel="0" collapsed="false">
      <c r="A63" s="1"/>
      <c r="B63" s="30" t="s">
        <v>121</v>
      </c>
      <c r="C63" s="31" t="s">
        <v>647</v>
      </c>
      <c r="D63" s="31" t="s">
        <v>587</v>
      </c>
      <c r="E63" s="37" t="s">
        <v>123</v>
      </c>
      <c r="F63" s="31" t="s">
        <v>67</v>
      </c>
      <c r="G63" s="31" t="s">
        <v>68</v>
      </c>
      <c r="H63" s="37"/>
      <c r="I63" s="1"/>
      <c r="J63" s="1"/>
      <c r="K63" s="1"/>
      <c r="L63" s="1"/>
      <c r="M63" s="1"/>
      <c r="N63" s="1"/>
      <c r="O63" s="1"/>
      <c r="P63" s="1"/>
    </row>
    <row r="64" customFormat="false" ht="24" hidden="false" customHeight="true" outlineLevel="0" collapsed="false">
      <c r="A64" s="1"/>
      <c r="B64" s="19" t="s">
        <v>657</v>
      </c>
      <c r="C64" s="2" t="s">
        <v>658</v>
      </c>
      <c r="D64" s="2" t="s">
        <v>596</v>
      </c>
      <c r="E64" s="39" t="s">
        <v>659</v>
      </c>
      <c r="F64" s="2" t="s">
        <v>73</v>
      </c>
      <c r="G64" s="2" t="s">
        <v>68</v>
      </c>
      <c r="H64" s="35"/>
      <c r="I64" s="1"/>
      <c r="J64" s="1"/>
      <c r="K64" s="1"/>
      <c r="L64" s="1"/>
      <c r="M64" s="1"/>
      <c r="N64" s="1"/>
      <c r="O64" s="1"/>
      <c r="P64" s="1"/>
    </row>
    <row r="65" customFormat="false" ht="24" hidden="false" customHeight="true" outlineLevel="0" collapsed="false">
      <c r="A65" s="1"/>
      <c r="B65" s="30" t="s">
        <v>142</v>
      </c>
      <c r="C65" s="31" t="s">
        <v>634</v>
      </c>
      <c r="D65" s="31" t="s">
        <v>596</v>
      </c>
      <c r="E65" s="37" t="s">
        <v>144</v>
      </c>
      <c r="F65" s="31" t="s">
        <v>67</v>
      </c>
      <c r="G65" s="31" t="s">
        <v>68</v>
      </c>
      <c r="H65" s="37"/>
      <c r="I65" s="1"/>
      <c r="J65" s="1"/>
      <c r="K65" s="1"/>
      <c r="L65" s="1"/>
      <c r="M65" s="1"/>
      <c r="N65" s="1"/>
      <c r="O65" s="1"/>
      <c r="P65" s="1"/>
    </row>
    <row r="66" customFormat="false" ht="24" hidden="false" customHeight="true" outlineLevel="0" collapsed="false">
      <c r="A66" s="1"/>
      <c r="B66" s="19" t="s">
        <v>660</v>
      </c>
      <c r="C66" s="2" t="s">
        <v>661</v>
      </c>
      <c r="D66" s="2" t="s">
        <v>596</v>
      </c>
      <c r="E66" s="35" t="s">
        <v>662</v>
      </c>
      <c r="F66" s="2" t="s">
        <v>73</v>
      </c>
      <c r="G66" s="2" t="s">
        <v>68</v>
      </c>
      <c r="H66" s="35"/>
      <c r="I66" s="1"/>
      <c r="J66" s="1"/>
      <c r="K66" s="1"/>
      <c r="L66" s="1"/>
      <c r="M66" s="1"/>
      <c r="N66" s="1"/>
      <c r="O66" s="1"/>
      <c r="P66" s="1"/>
    </row>
    <row r="67" customFormat="false" ht="24" hidden="false" customHeight="true" outlineLevel="0" collapsed="false">
      <c r="A67" s="1"/>
      <c r="B67" s="30" t="s">
        <v>317</v>
      </c>
      <c r="C67" s="31" t="s">
        <v>663</v>
      </c>
      <c r="D67" s="31" t="s">
        <v>596</v>
      </c>
      <c r="E67" s="38" t="s">
        <v>664</v>
      </c>
      <c r="F67" s="31" t="s">
        <v>100</v>
      </c>
      <c r="G67" s="31" t="s">
        <v>68</v>
      </c>
      <c r="H67" s="37"/>
      <c r="I67" s="1"/>
      <c r="J67" s="1"/>
      <c r="K67" s="1"/>
      <c r="L67" s="1"/>
      <c r="M67" s="1"/>
      <c r="N67" s="1"/>
      <c r="O67" s="1"/>
      <c r="P67" s="1"/>
    </row>
    <row r="68" customFormat="false" ht="24" hidden="false" customHeight="true" outlineLevel="0" collapsed="false">
      <c r="A68" s="1"/>
      <c r="B68" s="19" t="s">
        <v>75</v>
      </c>
      <c r="C68" s="2" t="s">
        <v>665</v>
      </c>
      <c r="D68" s="2" t="s">
        <v>596</v>
      </c>
      <c r="E68" s="35" t="s">
        <v>77</v>
      </c>
      <c r="F68" s="2" t="s">
        <v>73</v>
      </c>
      <c r="G68" s="2" t="s">
        <v>68</v>
      </c>
      <c r="H68" s="35"/>
      <c r="I68" s="1"/>
      <c r="J68" s="1"/>
      <c r="K68" s="1"/>
      <c r="L68" s="1"/>
      <c r="M68" s="1"/>
      <c r="N68" s="1"/>
      <c r="O68" s="1"/>
      <c r="P68" s="1"/>
    </row>
    <row r="69" customFormat="false" ht="24" hidden="false" customHeight="true" outlineLevel="0" collapsed="false">
      <c r="A69" s="1"/>
      <c r="B69" s="30" t="s">
        <v>138</v>
      </c>
      <c r="C69" s="31" t="s">
        <v>640</v>
      </c>
      <c r="D69" s="31" t="s">
        <v>596</v>
      </c>
      <c r="E69" s="38" t="s">
        <v>666</v>
      </c>
      <c r="F69" s="31" t="s">
        <v>73</v>
      </c>
      <c r="G69" s="31" t="s">
        <v>68</v>
      </c>
      <c r="H69" s="37"/>
      <c r="I69" s="1"/>
      <c r="J69" s="1"/>
      <c r="K69" s="1"/>
      <c r="L69" s="1"/>
      <c r="M69" s="1"/>
      <c r="N69" s="1"/>
      <c r="O69" s="1"/>
      <c r="P69" s="1"/>
    </row>
    <row r="70" customFormat="false" ht="24" hidden="false" customHeight="true" outlineLevel="0" collapsed="false">
      <c r="A70" s="1"/>
      <c r="B70" s="19" t="s">
        <v>193</v>
      </c>
      <c r="C70" s="2" t="s">
        <v>667</v>
      </c>
      <c r="D70" s="2" t="s">
        <v>596</v>
      </c>
      <c r="E70" s="39" t="s">
        <v>668</v>
      </c>
      <c r="F70" s="2" t="s">
        <v>100</v>
      </c>
      <c r="G70" s="2" t="s">
        <v>68</v>
      </c>
      <c r="H70" s="35" t="s">
        <v>669</v>
      </c>
      <c r="I70" s="1"/>
      <c r="J70" s="1"/>
      <c r="K70" s="1"/>
      <c r="L70" s="1"/>
      <c r="M70" s="1"/>
      <c r="N70" s="1"/>
      <c r="O70" s="1"/>
      <c r="P70" s="1"/>
    </row>
    <row r="71" customFormat="false" ht="24" hidden="false" customHeight="true" outlineLevel="0" collapsed="false">
      <c r="A71" s="1"/>
      <c r="B71" s="30" t="s">
        <v>198</v>
      </c>
      <c r="C71" s="31" t="s">
        <v>670</v>
      </c>
      <c r="D71" s="31" t="s">
        <v>596</v>
      </c>
      <c r="E71" s="38" t="s">
        <v>668</v>
      </c>
      <c r="F71" s="31" t="s">
        <v>100</v>
      </c>
      <c r="G71" s="31" t="s">
        <v>68</v>
      </c>
      <c r="H71" s="37" t="s">
        <v>671</v>
      </c>
      <c r="I71" s="1"/>
      <c r="J71" s="1"/>
      <c r="K71" s="1"/>
      <c r="L71" s="1"/>
      <c r="M71" s="1"/>
      <c r="N71" s="1"/>
      <c r="O71" s="1"/>
      <c r="P71" s="1"/>
    </row>
    <row r="72" customFormat="false" ht="24" hidden="false" customHeight="true" outlineLevel="0" collapsed="false">
      <c r="A72" s="1"/>
      <c r="B72" s="19" t="s">
        <v>241</v>
      </c>
      <c r="C72" s="2" t="s">
        <v>672</v>
      </c>
      <c r="D72" s="2" t="s">
        <v>596</v>
      </c>
      <c r="E72" s="39" t="s">
        <v>673</v>
      </c>
      <c r="F72" s="2" t="s">
        <v>100</v>
      </c>
      <c r="G72" s="2" t="s">
        <v>68</v>
      </c>
      <c r="H72" s="35"/>
      <c r="I72" s="1"/>
      <c r="J72" s="1"/>
      <c r="K72" s="1"/>
      <c r="L72" s="1"/>
      <c r="M72" s="1"/>
      <c r="N72" s="1"/>
      <c r="O72" s="1"/>
      <c r="P72" s="1"/>
    </row>
    <row r="73" customFormat="false" ht="24" hidden="false" customHeight="true" outlineLevel="0" collapsed="false">
      <c r="A73" s="1"/>
      <c r="B73" s="30" t="s">
        <v>146</v>
      </c>
      <c r="C73" s="31" t="s">
        <v>674</v>
      </c>
      <c r="D73" s="31" t="s">
        <v>596</v>
      </c>
      <c r="E73" s="38" t="s">
        <v>675</v>
      </c>
      <c r="F73" s="31" t="s">
        <v>67</v>
      </c>
      <c r="G73" s="31" t="s">
        <v>68</v>
      </c>
      <c r="H73" s="37"/>
      <c r="I73" s="1"/>
      <c r="J73" s="1"/>
      <c r="K73" s="1"/>
      <c r="L73" s="1"/>
      <c r="M73" s="1"/>
      <c r="N73" s="1"/>
      <c r="O73" s="1"/>
      <c r="P73" s="1"/>
    </row>
    <row r="74" customFormat="false" ht="24" hidden="false" customHeight="true" outlineLevel="0" collapsed="false">
      <c r="A74" s="1"/>
      <c r="B74" s="19" t="s">
        <v>676</v>
      </c>
      <c r="C74" s="2" t="s">
        <v>677</v>
      </c>
      <c r="D74" s="2" t="s">
        <v>596</v>
      </c>
      <c r="E74" s="35" t="s">
        <v>678</v>
      </c>
      <c r="F74" s="2" t="s">
        <v>73</v>
      </c>
      <c r="G74" s="2" t="s">
        <v>68</v>
      </c>
      <c r="H74" s="35"/>
      <c r="I74" s="1"/>
      <c r="J74" s="1"/>
      <c r="K74" s="1"/>
      <c r="L74" s="1"/>
      <c r="M74" s="1"/>
      <c r="N74" s="1"/>
      <c r="O74" s="1"/>
      <c r="P74" s="1"/>
    </row>
    <row r="75" customFormat="false" ht="24" hidden="false" customHeight="true" outlineLevel="0" collapsed="false">
      <c r="A75" s="1"/>
      <c r="B75" s="30" t="s">
        <v>679</v>
      </c>
      <c r="C75" s="31" t="s">
        <v>680</v>
      </c>
      <c r="D75" s="31" t="s">
        <v>596</v>
      </c>
      <c r="E75" s="37" t="s">
        <v>681</v>
      </c>
      <c r="F75" s="31" t="s">
        <v>73</v>
      </c>
      <c r="G75" s="31" t="s">
        <v>68</v>
      </c>
      <c r="H75" s="37"/>
      <c r="I75" s="1"/>
      <c r="J75" s="1"/>
      <c r="K75" s="1"/>
      <c r="L75" s="1"/>
      <c r="M75" s="1"/>
      <c r="N75" s="1"/>
      <c r="O75" s="1"/>
      <c r="P75" s="1"/>
    </row>
    <row r="76" customFormat="false" ht="24" hidden="false" customHeight="true" outlineLevel="0" collapsed="false">
      <c r="A76" s="1"/>
      <c r="B76" s="19" t="s">
        <v>218</v>
      </c>
      <c r="C76" s="2" t="s">
        <v>682</v>
      </c>
      <c r="D76" s="2" t="s">
        <v>596</v>
      </c>
      <c r="E76" s="35" t="s">
        <v>220</v>
      </c>
      <c r="F76" s="2" t="s">
        <v>73</v>
      </c>
      <c r="G76" s="2" t="s">
        <v>68</v>
      </c>
      <c r="H76" s="35"/>
      <c r="I76" s="1"/>
      <c r="J76" s="1"/>
      <c r="K76" s="1"/>
      <c r="L76" s="1"/>
      <c r="M76" s="1"/>
      <c r="N76" s="1"/>
      <c r="O76" s="1"/>
      <c r="P76" s="1"/>
    </row>
    <row r="77" customFormat="false" ht="24" hidden="false" customHeight="true" outlineLevel="0" collapsed="false">
      <c r="A77" s="1"/>
      <c r="B77" s="30" t="s">
        <v>214</v>
      </c>
      <c r="C77" s="31" t="s">
        <v>665</v>
      </c>
      <c r="D77" s="31" t="s">
        <v>596</v>
      </c>
      <c r="E77" s="38" t="s">
        <v>683</v>
      </c>
      <c r="F77" s="31" t="s">
        <v>73</v>
      </c>
      <c r="G77" s="31" t="s">
        <v>68</v>
      </c>
      <c r="H77" s="37"/>
      <c r="I77" s="1"/>
      <c r="J77" s="1"/>
      <c r="K77" s="1"/>
      <c r="L77" s="1"/>
      <c r="M77" s="1"/>
      <c r="N77" s="1"/>
      <c r="O77" s="1"/>
      <c r="P77" s="1"/>
    </row>
    <row r="78" customFormat="false" ht="24" hidden="false" customHeight="true" outlineLevel="0" collapsed="false">
      <c r="A78" s="1"/>
      <c r="B78" s="19" t="s">
        <v>222</v>
      </c>
      <c r="C78" s="2" t="s">
        <v>684</v>
      </c>
      <c r="D78" s="2" t="s">
        <v>596</v>
      </c>
      <c r="E78" s="35" t="s">
        <v>220</v>
      </c>
      <c r="F78" s="2" t="s">
        <v>73</v>
      </c>
      <c r="G78" s="2" t="s">
        <v>68</v>
      </c>
      <c r="H78" s="35"/>
      <c r="I78" s="1"/>
      <c r="J78" s="1"/>
      <c r="K78" s="1"/>
      <c r="L78" s="1"/>
      <c r="M78" s="1"/>
      <c r="N78" s="1"/>
      <c r="O78" s="1"/>
      <c r="P78" s="1"/>
    </row>
    <row r="79" customFormat="false" ht="24" hidden="false" customHeight="true" outlineLevel="0" collapsed="false">
      <c r="A79" s="1"/>
      <c r="B79" s="30" t="s">
        <v>225</v>
      </c>
      <c r="C79" s="31" t="s">
        <v>598</v>
      </c>
      <c r="D79" s="31" t="s">
        <v>596</v>
      </c>
      <c r="E79" s="37" t="s">
        <v>220</v>
      </c>
      <c r="F79" s="31" t="s">
        <v>73</v>
      </c>
      <c r="G79" s="31" t="s">
        <v>68</v>
      </c>
      <c r="H79" s="37"/>
      <c r="I79" s="1"/>
      <c r="J79" s="1"/>
      <c r="K79" s="1"/>
      <c r="L79" s="1"/>
      <c r="M79" s="1"/>
      <c r="N79" s="1"/>
      <c r="O79" s="1"/>
      <c r="P79" s="1"/>
    </row>
    <row r="80" customFormat="false" ht="24" hidden="false" customHeight="true" outlineLevel="0" collapsed="false">
      <c r="A80" s="1"/>
      <c r="B80" s="19" t="s">
        <v>32</v>
      </c>
      <c r="C80" s="2" t="s">
        <v>680</v>
      </c>
      <c r="D80" s="2" t="s">
        <v>596</v>
      </c>
      <c r="E80" s="35" t="s">
        <v>72</v>
      </c>
      <c r="F80" s="2" t="s">
        <v>73</v>
      </c>
      <c r="G80" s="2" t="s">
        <v>68</v>
      </c>
      <c r="H80" s="35"/>
      <c r="I80" s="1"/>
      <c r="J80" s="1"/>
      <c r="K80" s="1"/>
      <c r="L80" s="1"/>
      <c r="M80" s="1"/>
      <c r="N80" s="1"/>
      <c r="O80" s="1"/>
      <c r="P80" s="1"/>
    </row>
    <row r="81" customFormat="false" ht="24" hidden="false" customHeight="true" outlineLevel="0" collapsed="false">
      <c r="A81" s="1"/>
      <c r="B81" s="30" t="s">
        <v>685</v>
      </c>
      <c r="C81" s="31" t="s">
        <v>686</v>
      </c>
      <c r="D81" s="31" t="s">
        <v>596</v>
      </c>
      <c r="E81" s="37" t="s">
        <v>687</v>
      </c>
      <c r="F81" s="31" t="s">
        <v>73</v>
      </c>
      <c r="G81" s="31" t="s">
        <v>68</v>
      </c>
      <c r="H81" s="37"/>
      <c r="I81" s="1"/>
      <c r="J81" s="1"/>
      <c r="K81" s="1"/>
      <c r="L81" s="1"/>
      <c r="M81" s="1"/>
      <c r="N81" s="1"/>
      <c r="O81" s="1"/>
      <c r="P81" s="1"/>
    </row>
    <row r="82" customFormat="false" ht="24" hidden="false" customHeight="true" outlineLevel="0" collapsed="false">
      <c r="A82" s="1"/>
      <c r="B82" s="19" t="s">
        <v>688</v>
      </c>
      <c r="C82" s="2" t="s">
        <v>689</v>
      </c>
      <c r="D82" s="2" t="s">
        <v>596</v>
      </c>
      <c r="E82" s="35" t="s">
        <v>687</v>
      </c>
      <c r="F82" s="2" t="s">
        <v>73</v>
      </c>
      <c r="G82" s="2" t="s">
        <v>68</v>
      </c>
      <c r="H82" s="35"/>
      <c r="I82" s="1"/>
      <c r="J82" s="1"/>
      <c r="K82" s="1"/>
      <c r="L82" s="1"/>
      <c r="M82" s="1"/>
      <c r="N82" s="1"/>
      <c r="O82" s="1"/>
      <c r="P82" s="1"/>
    </row>
    <row r="83" customFormat="false" ht="24" hidden="false" customHeight="true" outlineLevel="0" collapsed="false">
      <c r="A83" s="1"/>
      <c r="B83" s="30" t="s">
        <v>126</v>
      </c>
      <c r="C83" s="31" t="s">
        <v>690</v>
      </c>
      <c r="D83" s="31" t="s">
        <v>596</v>
      </c>
      <c r="E83" s="38" t="s">
        <v>609</v>
      </c>
      <c r="F83" s="31" t="s">
        <v>73</v>
      </c>
      <c r="G83" s="31" t="s">
        <v>68</v>
      </c>
      <c r="H83" s="37" t="s">
        <v>691</v>
      </c>
      <c r="I83" s="1"/>
      <c r="J83" s="1"/>
      <c r="K83" s="1"/>
      <c r="L83" s="1"/>
      <c r="M83" s="1"/>
      <c r="N83" s="1"/>
      <c r="O83" s="1"/>
      <c r="P83" s="1"/>
    </row>
    <row r="84" customFormat="false" ht="24" hidden="false" customHeight="true" outlineLevel="0" collapsed="false">
      <c r="A84" s="1"/>
      <c r="B84" s="19" t="s">
        <v>187</v>
      </c>
      <c r="C84" s="2" t="s">
        <v>692</v>
      </c>
      <c r="D84" s="2" t="s">
        <v>621</v>
      </c>
      <c r="E84" s="35" t="s">
        <v>190</v>
      </c>
      <c r="F84" s="2" t="s">
        <v>100</v>
      </c>
      <c r="G84" s="2" t="s">
        <v>68</v>
      </c>
      <c r="H84" s="35" t="s">
        <v>622</v>
      </c>
      <c r="I84" s="1"/>
      <c r="J84" s="1"/>
      <c r="K84" s="1"/>
      <c r="L84" s="1"/>
      <c r="M84" s="1"/>
      <c r="N84" s="1"/>
      <c r="O84" s="1"/>
      <c r="P84" s="1"/>
    </row>
    <row r="85" customFormat="false" ht="24" hidden="false" customHeight="true" outlineLevel="0" collapsed="false">
      <c r="A85" s="1"/>
      <c r="B85" s="30" t="s">
        <v>63</v>
      </c>
      <c r="C85" s="31" t="s">
        <v>693</v>
      </c>
      <c r="D85" s="31" t="s">
        <v>587</v>
      </c>
      <c r="E85" s="37" t="s">
        <v>66</v>
      </c>
      <c r="F85" s="31" t="s">
        <v>67</v>
      </c>
      <c r="G85" s="31" t="s">
        <v>68</v>
      </c>
      <c r="H85" s="37"/>
      <c r="I85" s="1"/>
      <c r="J85" s="1"/>
      <c r="K85" s="1"/>
      <c r="L85" s="1"/>
      <c r="M85" s="1"/>
      <c r="N85" s="1"/>
      <c r="O85" s="1"/>
      <c r="P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</sheetData>
  <hyperlinks>
    <hyperlink ref="E17" r:id="rId1" display="Cotobox trademark cost — https://cotobox.com/primer/registration-fee/; JPO fees — https://www.jpo.go.jp/system/process/tesuryo/hyou.html"/>
    <hyperlink ref="E18" r:id="rId2" display="Vine JP fees — https://www.hideandseek.co.jp/archives/7954 (¥0/¥10k/¥22k tiers)"/>
    <hyperlink ref="E20" r:id="rId3" display="ECのミカタ 掛け率 — https://ecnomikata.com/ecnews/35771/; FORCE-R — https://force-r.co.jp/column/column-7555/; 資生販売 — https://shiseihanbai.biz/contents/learning-ratio-of-wholesale-price-to-retail-price/"/>
    <hyperlink ref="E32" r:id="rId4" display="Marsh Amazon seller insurance — https://affinity.marsh.com/amazonsellers/insights/amazon-sellers-insurance-requirements.html; domestic JP PL ¥20-50k/yr"/>
    <hyperlink ref="E37" r:id="rId5" display="FBA partner carrier (Yamato) — https://wac-works-ec.jp/amazon/fba-partner-career/"/>
    <hyperlink ref="E38" r:id="rId6" display="Seller Central JP 長期在庫追加手数料 — https://sellercentral.amazon.co.jp/help/hub/reference/external/GBJ9XBVWSBKZWD76; 366d+ ¥34.239 since Apr-2025, min ¥20/unit/mo from 2026-04-15"/>
    <hyperlink ref="E40" r:id="rId7" display="absorbs former admin defaults: accounting ¥50k (税理士 ¥500-700k/yr — https://www.zeiri4.com/c_1076/) + software ¥10k + misc ¥10k"/>
    <hyperlink ref="E49" r:id="rId8" display="Amazon JP points default — https://sellercentral-japan.amazon.com/seller-forums/discussions/t/2e1c53d59f32e3b92493020bbeb1cb91; Marknology — https://www.marknology.com/blogs/latest-e-commerce-news/understanding-amazon-japans-amazon-points-program"/>
    <hyperlink ref="E56" r:id="rId9" display="Axalpha JP coupon/deal fees 2025-06 — https://www.axalpha.com/blog/新クーポン料金体系/"/>
    <hyperlink ref="E57" r:id="rId10" display="Axalpha JP coupon/deal fees 2025-06 — https://www.axalpha.com/blog/新クーポン料金体系/"/>
    <hyperlink ref="E59" r:id="rId11" display="NTA reduced rate — https://www.nta.go.jp/taxes/shiraberu/zeimokubetsu/shohi/keigenzeiritsu/index.htm"/>
    <hyperlink ref="E62" r:id="rId12" display="Amazon refund administration fee — https://sellercentral.amazon.com/gp/help/external/DC3U6FWF4JJJJC7 (lesser of 20% of referral or ¥500)"/>
    <hyperlink ref="E64" r:id="rId13" display="trade.gov Japan eCommerce — https://www.trade.gov/country-commercial-guides/japan-ecommerce; Velocity Sellers category medians 2026 — https://velocitysellers.com"/>
    <hyperlink ref="E67" r:id="rId14" display="Amazon JP disbursement cycle (~14d) — https://sellercentral.amazon.co.jp/help/hub/reference/external/G201051980"/>
    <hyperlink ref="E69" r:id="rId15" display="Value Added Resource FBA reimbursement 2025 — https://www.valueaddedresource.net/amazon-fba-inventory-reimbursement-2025/"/>
    <hyperlink ref="E70" r:id="rId16" display="Amazon JP pricing 在庫保管手数料 — https://sell.amazon.co.jp/pricing"/>
    <hyperlink ref="E71" r:id="rId17" display="Amazon JP pricing 在庫保管手数料 — https://sell.amazon.co.jp/pricing"/>
    <hyperlink ref="E72" r:id="rId18" display="Amazon JP pricing 大口出品 — https://sell.amazon.co.jp/pricing"/>
    <hyperlink ref="E73" r:id="rId19" display="NTA invoice system transitional credits — https://www.nta.go.jp/taxes/shiraberu/zeimokubetsu/shohi/keigenzeiritsu/invoice.htm"/>
    <hyperlink ref="E77" r:id="rId20" display="markenote.jp JP CPC ¥50-300 — https://markenote.jp/amazon-ads-cpc/; JP agency ACoS consensus 20-30% steady, 40-60% launch"/>
    <hyperlink ref="E83" r:id="rId21" display="ECのミカタ 掛け率 — https://ecnomikata.com/ecnews/35771/; FORCE-R — https://force-r.co.jp/column/column-7555/; 資生販売 — https://shiseihanbai.biz/contents/learning-ratio-of-wholesale-price-to-retail-pric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L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30" hidden="false" customHeight="true" outlineLevel="0" collapsed="false">
      <c r="A4" s="1"/>
      <c r="B4" s="3" t="s">
        <v>694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5" hidden="false" customHeight="false" outlineLevel="0" collapsed="false">
      <c r="A5" s="1"/>
      <c r="B5" s="25" t="s">
        <v>695</v>
      </c>
      <c r="C5" s="7"/>
      <c r="D5" s="7"/>
      <c r="E5" s="1"/>
      <c r="F5" s="1"/>
      <c r="G5" s="1"/>
      <c r="H5" s="1"/>
      <c r="I5" s="1"/>
      <c r="J5" s="1"/>
      <c r="K5" s="1"/>
      <c r="L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15" hidden="false" customHeight="false" outlineLevel="0" collapsed="false">
      <c r="A7" s="1"/>
      <c r="B7" s="17" t="s">
        <v>696</v>
      </c>
      <c r="C7" s="18" t="s">
        <v>697</v>
      </c>
      <c r="D7" s="18" t="s">
        <v>698</v>
      </c>
      <c r="E7" s="1"/>
      <c r="F7" s="1"/>
      <c r="G7" s="1"/>
      <c r="H7" s="1"/>
      <c r="I7" s="1"/>
      <c r="J7" s="1"/>
      <c r="K7" s="1"/>
      <c r="L7" s="1"/>
    </row>
    <row r="8" customFormat="false" ht="15" hidden="false" customHeight="false" outlineLevel="0" collapsed="false">
      <c r="A8" s="1"/>
      <c r="B8" s="2" t="s">
        <v>699</v>
      </c>
      <c r="C8" s="19" t="s">
        <v>497</v>
      </c>
      <c r="D8" s="35" t="s">
        <v>700</v>
      </c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31" t="s">
        <v>701</v>
      </c>
      <c r="C9" s="30" t="s">
        <v>498</v>
      </c>
      <c r="D9" s="37" t="s">
        <v>702</v>
      </c>
      <c r="E9" s="1"/>
      <c r="F9" s="1"/>
      <c r="G9" s="1"/>
      <c r="H9" s="1"/>
      <c r="I9" s="1"/>
      <c r="J9" s="1"/>
      <c r="K9" s="1"/>
      <c r="L9" s="1"/>
    </row>
    <row r="10" customFormat="false" ht="15" hidden="false" customHeight="false" outlineLevel="0" collapsed="false">
      <c r="A10" s="1"/>
      <c r="B10" s="2" t="s">
        <v>703</v>
      </c>
      <c r="C10" s="19" t="s">
        <v>499</v>
      </c>
      <c r="D10" s="35" t="s">
        <v>704</v>
      </c>
      <c r="E10" s="1"/>
      <c r="F10" s="1"/>
      <c r="G10" s="1"/>
      <c r="H10" s="1"/>
      <c r="I10" s="1"/>
      <c r="J10" s="1"/>
      <c r="K10" s="1"/>
      <c r="L10" s="1"/>
    </row>
    <row r="11" customFormat="false" ht="15" hidden="false" customHeight="false" outlineLevel="0" collapsed="false">
      <c r="A11" s="1"/>
      <c r="B11" s="31" t="s">
        <v>705</v>
      </c>
      <c r="C11" s="30" t="s">
        <v>500</v>
      </c>
      <c r="D11" s="37" t="s">
        <v>706</v>
      </c>
      <c r="E11" s="1"/>
      <c r="F11" s="1"/>
      <c r="G11" s="1"/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2" t="s">
        <v>707</v>
      </c>
      <c r="C12" s="19" t="s">
        <v>102</v>
      </c>
      <c r="D12" s="35" t="s">
        <v>708</v>
      </c>
      <c r="E12" s="1"/>
      <c r="F12" s="1"/>
      <c r="G12" s="1"/>
      <c r="H12" s="1"/>
      <c r="I12" s="1"/>
      <c r="J12" s="1"/>
      <c r="K12" s="1"/>
      <c r="L12" s="1"/>
    </row>
    <row r="13" customFormat="false" ht="15" hidden="false" customHeight="false" outlineLevel="0" collapsed="false">
      <c r="A13" s="1"/>
      <c r="B13" s="31" t="s">
        <v>709</v>
      </c>
      <c r="C13" s="30" t="s">
        <v>501</v>
      </c>
      <c r="D13" s="37" t="s">
        <v>710</v>
      </c>
      <c r="E13" s="1"/>
      <c r="F13" s="1"/>
      <c r="G13" s="1"/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2" t="s">
        <v>711</v>
      </c>
      <c r="C14" s="19" t="s">
        <v>502</v>
      </c>
      <c r="D14" s="35" t="s">
        <v>712</v>
      </c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false" outlineLevel="0" collapsed="false">
      <c r="A15" s="1"/>
      <c r="B15" s="31" t="s">
        <v>713</v>
      </c>
      <c r="C15" s="30" t="s">
        <v>503</v>
      </c>
      <c r="D15" s="37" t="s">
        <v>714</v>
      </c>
      <c r="E15" s="1"/>
      <c r="F15" s="1"/>
      <c r="G15" s="1"/>
      <c r="H15" s="1"/>
      <c r="I15" s="1"/>
      <c r="J15" s="1"/>
      <c r="K15" s="1"/>
      <c r="L15" s="1"/>
    </row>
    <row r="16" customFormat="false" ht="15" hidden="false" customHeight="false" outlineLevel="0" collapsed="false">
      <c r="A16" s="1"/>
      <c r="B16" s="2" t="s">
        <v>715</v>
      </c>
      <c r="C16" s="19" t="s">
        <v>504</v>
      </c>
      <c r="D16" s="35" t="s">
        <v>716</v>
      </c>
      <c r="E16" s="1"/>
      <c r="F16" s="1"/>
      <c r="G16" s="1"/>
      <c r="H16" s="1"/>
      <c r="I16" s="1"/>
      <c r="J16" s="1"/>
      <c r="K16" s="1"/>
      <c r="L16" s="1"/>
    </row>
    <row r="17" customFormat="false" ht="15" hidden="false" customHeight="false" outlineLevel="0" collapsed="false">
      <c r="A17" s="1"/>
      <c r="B17" s="31" t="s">
        <v>717</v>
      </c>
      <c r="C17" s="30" t="s">
        <v>505</v>
      </c>
      <c r="D17" s="37" t="s">
        <v>718</v>
      </c>
      <c r="E17" s="1"/>
      <c r="F17" s="1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A18" s="1"/>
      <c r="B18" s="2" t="s">
        <v>719</v>
      </c>
      <c r="C18" s="19" t="s">
        <v>506</v>
      </c>
      <c r="D18" s="35" t="s">
        <v>720</v>
      </c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/>
      <c r="B19" s="31" t="s">
        <v>721</v>
      </c>
      <c r="C19" s="30" t="s">
        <v>138</v>
      </c>
      <c r="D19" s="37" t="s">
        <v>722</v>
      </c>
      <c r="E19" s="1"/>
      <c r="F19" s="1"/>
      <c r="G19" s="1"/>
      <c r="H19" s="1"/>
      <c r="I19" s="1"/>
      <c r="J19" s="1"/>
      <c r="K19" s="1"/>
      <c r="L19" s="1"/>
    </row>
    <row r="20" customFormat="false" ht="15" hidden="false" customHeight="false" outlineLevel="0" collapsed="false">
      <c r="A20" s="1"/>
      <c r="B20" s="2" t="s">
        <v>723</v>
      </c>
      <c r="C20" s="19" t="s">
        <v>507</v>
      </c>
      <c r="D20" s="35" t="s">
        <v>724</v>
      </c>
      <c r="E20" s="1"/>
      <c r="F20" s="1"/>
      <c r="G20" s="1"/>
      <c r="H20" s="1"/>
      <c r="I20" s="1"/>
      <c r="J20" s="1"/>
      <c r="K20" s="1"/>
      <c r="L20" s="1"/>
    </row>
    <row r="21" customFormat="false" ht="15" hidden="false" customHeight="false" outlineLevel="0" collapsed="false">
      <c r="A21" s="1"/>
      <c r="B21" s="31" t="s">
        <v>725</v>
      </c>
      <c r="C21" s="30" t="s">
        <v>508</v>
      </c>
      <c r="D21" s="37" t="s">
        <v>726</v>
      </c>
      <c r="E21" s="1"/>
      <c r="F21" s="1"/>
      <c r="G21" s="1"/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2" t="s">
        <v>727</v>
      </c>
      <c r="C22" s="19" t="s">
        <v>509</v>
      </c>
      <c r="D22" s="35" t="s">
        <v>728</v>
      </c>
      <c r="E22" s="1"/>
      <c r="F22" s="1"/>
      <c r="G22" s="1"/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31" t="s">
        <v>729</v>
      </c>
      <c r="C23" s="30" t="s">
        <v>510</v>
      </c>
      <c r="D23" s="37" t="s">
        <v>730</v>
      </c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2" t="s">
        <v>731</v>
      </c>
      <c r="C24" s="19" t="s">
        <v>511</v>
      </c>
      <c r="D24" s="35" t="s">
        <v>732</v>
      </c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31" t="s">
        <v>733</v>
      </c>
      <c r="C25" s="30" t="s">
        <v>512</v>
      </c>
      <c r="D25" s="37" t="s">
        <v>734</v>
      </c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/>
      <c r="B26" s="2" t="s">
        <v>735</v>
      </c>
      <c r="C26" s="19" t="s">
        <v>513</v>
      </c>
      <c r="D26" s="35" t="s">
        <v>736</v>
      </c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31" t="s">
        <v>737</v>
      </c>
      <c r="C27" s="30" t="s">
        <v>514</v>
      </c>
      <c r="D27" s="37" t="s">
        <v>738</v>
      </c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2" t="s">
        <v>739</v>
      </c>
      <c r="C28" s="19" t="s">
        <v>515</v>
      </c>
      <c r="D28" s="35" t="s">
        <v>740</v>
      </c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31" t="s">
        <v>741</v>
      </c>
      <c r="C29" s="30" t="s">
        <v>516</v>
      </c>
      <c r="D29" s="37" t="s">
        <v>742</v>
      </c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2" t="s">
        <v>743</v>
      </c>
      <c r="C30" s="19" t="s">
        <v>517</v>
      </c>
      <c r="D30" s="35" t="s">
        <v>744</v>
      </c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31" t="s">
        <v>745</v>
      </c>
      <c r="C31" s="30" t="s">
        <v>518</v>
      </c>
      <c r="D31" s="37" t="s">
        <v>746</v>
      </c>
      <c r="E31" s="1"/>
      <c r="F31" s="1"/>
      <c r="G31" s="1"/>
      <c r="H31" s="1"/>
      <c r="I31" s="1"/>
      <c r="J31" s="1"/>
      <c r="K31" s="1"/>
      <c r="L31" s="1"/>
    </row>
    <row r="32" customFormat="false" ht="22.35" hidden="false" customHeight="false" outlineLevel="0" collapsed="false">
      <c r="A32" s="1"/>
      <c r="B32" s="2" t="s">
        <v>747</v>
      </c>
      <c r="C32" s="19" t="s">
        <v>519</v>
      </c>
      <c r="D32" s="35" t="s">
        <v>748</v>
      </c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31" t="s">
        <v>749</v>
      </c>
      <c r="C33" s="30" t="s">
        <v>520</v>
      </c>
      <c r="D33" s="37" t="s">
        <v>750</v>
      </c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2" t="s">
        <v>751</v>
      </c>
      <c r="C34" s="19" t="s">
        <v>521</v>
      </c>
      <c r="D34" s="35" t="s">
        <v>752</v>
      </c>
      <c r="E34" s="1"/>
      <c r="F34" s="1"/>
      <c r="G34" s="1"/>
      <c r="H34" s="1"/>
      <c r="I34" s="1"/>
      <c r="J34" s="1"/>
      <c r="K34" s="1"/>
      <c r="L34" s="1"/>
    </row>
    <row r="35" customFormat="false" ht="22.35" hidden="false" customHeight="false" outlineLevel="0" collapsed="false">
      <c r="A35" s="1"/>
      <c r="B35" s="31" t="s">
        <v>753</v>
      </c>
      <c r="C35" s="30" t="s">
        <v>523</v>
      </c>
      <c r="D35" s="37" t="s">
        <v>754</v>
      </c>
      <c r="E35" s="1"/>
      <c r="F35" s="1"/>
      <c r="G35" s="1"/>
      <c r="H35" s="1"/>
      <c r="I35" s="1"/>
      <c r="J35" s="1"/>
      <c r="K35" s="1"/>
      <c r="L35" s="1"/>
    </row>
    <row r="36" customFormat="false" ht="22.35" hidden="false" customHeight="false" outlineLevel="0" collapsed="false">
      <c r="A36" s="1"/>
      <c r="B36" s="2" t="s">
        <v>755</v>
      </c>
      <c r="C36" s="19" t="s">
        <v>524</v>
      </c>
      <c r="D36" s="35" t="s">
        <v>756</v>
      </c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31" t="s">
        <v>757</v>
      </c>
      <c r="C37" s="30" t="s">
        <v>121</v>
      </c>
      <c r="D37" s="37" t="s">
        <v>758</v>
      </c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2" t="s">
        <v>759</v>
      </c>
      <c r="C38" s="19" t="s">
        <v>539</v>
      </c>
      <c r="D38" s="35" t="s">
        <v>760</v>
      </c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31" t="s">
        <v>761</v>
      </c>
      <c r="C39" s="30" t="s">
        <v>540</v>
      </c>
      <c r="D39" s="37" t="s">
        <v>762</v>
      </c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2" t="s">
        <v>763</v>
      </c>
      <c r="C40" s="19" t="s">
        <v>541</v>
      </c>
      <c r="D40" s="35" t="s">
        <v>764</v>
      </c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31" t="s">
        <v>765</v>
      </c>
      <c r="C41" s="30" t="s">
        <v>542</v>
      </c>
      <c r="D41" s="37" t="s">
        <v>766</v>
      </c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2" t="s">
        <v>767</v>
      </c>
      <c r="C42" s="19" t="s">
        <v>546</v>
      </c>
      <c r="D42" s="35" t="s">
        <v>768</v>
      </c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31" t="s">
        <v>769</v>
      </c>
      <c r="C43" s="30" t="s">
        <v>547</v>
      </c>
      <c r="D43" s="37" t="s">
        <v>770</v>
      </c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2" t="s">
        <v>771</v>
      </c>
      <c r="C44" s="19" t="s">
        <v>548</v>
      </c>
      <c r="D44" s="35" t="s">
        <v>772</v>
      </c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31" t="s">
        <v>773</v>
      </c>
      <c r="C45" s="30" t="s">
        <v>549</v>
      </c>
      <c r="D45" s="37" t="s">
        <v>774</v>
      </c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2" t="s">
        <v>775</v>
      </c>
      <c r="C46" s="19" t="s">
        <v>550</v>
      </c>
      <c r="D46" s="35" t="s">
        <v>776</v>
      </c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31" t="s">
        <v>777</v>
      </c>
      <c r="C47" s="30" t="s">
        <v>551</v>
      </c>
      <c r="D47" s="37" t="s">
        <v>778</v>
      </c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2" t="s">
        <v>779</v>
      </c>
      <c r="C48" s="19" t="s">
        <v>552</v>
      </c>
      <c r="D48" s="35" t="s">
        <v>780</v>
      </c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2026-06-18T18:16:56Z</dcterms:created>
  <dc:creator>openpyxl</dc:creator>
  <dc:description/>
  <dc:language>en-US</dc:language>
  <cp:lastModifiedBy/>
  <dcterms:modified xsi:type="dcterms:W3CDTF">2026-06-18T18:16:56Z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M_ENGINE_VERSION">
    <vt:lpwstr>fm-7</vt:lpwstr>
  </property>
  <property fmtid="{D5CDD505-2E9C-101B-9397-08002B2CF9AE}" pid="3" name="FM_SET_ID">
    <vt:lpwstr>9fcc27a6-4dce-47b4-81ae-8308eb866f32</vt:lpwstr>
  </property>
</Properties>
</file>